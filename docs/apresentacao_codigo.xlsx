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ipeline" sheetId="2" state="visible" r:id="rId2"/>
    <sheet name="Módulos" sheetId="3" state="visible" r:id="rId3"/>
    <sheet name="Restrições" sheetId="4" state="visible" r:id="rId4"/>
    <sheet name="Construção" sheetId="5" state="visible" r:id="rId5"/>
    <sheet name="GRASP" sheetId="6" state="visible" r:id="rId6"/>
    <sheet name="Objetivo" sheetId="7" state="visible" r:id="rId7"/>
    <sheet name="Busca Local" sheetId="8" state="visible" r:id="rId8"/>
    <sheet name="Experimentos" sheetId="9" state="visible" r:id="rId9"/>
    <sheet name="Pontos de Atenção" sheetId="10" state="visible" r:id="rId10"/>
    <sheet name="Parâmetros C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165" fontId="7" fillId="3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16" customWidth="1" min="3" max="3"/>
  </cols>
  <sheetData>
    <row r="1" ht="28" customHeight="1">
      <c r="A1" s="1" t="inlineStr">
        <is>
          <t>Otimização do Calendário do Brasileirão via GRASP + ILS</t>
        </is>
      </c>
    </row>
    <row r="2">
      <c r="A2" s="2" t="inlineStr">
        <is>
          <t>Apresentação técnica do código — gerada a partir de execuções reais (seed 42, dataset 2023/24)</t>
        </is>
      </c>
    </row>
    <row r="4" ht="22" customHeight="1">
      <c r="A4" s="3" t="inlineStr">
        <is>
          <t>O problema</t>
        </is>
      </c>
    </row>
    <row r="5" ht="32" customHeight="1">
      <c r="A5" s="4" t="inlineStr">
        <is>
          <t>Instância</t>
        </is>
      </c>
      <c r="B5" s="4" t="inlineStr">
        <is>
          <t>20 times, 38 rodadas (turno + returno espelhado), 380 jogos, 295 datas disponíveis (20/08/2023 a 09/06/2024)</t>
        </is>
      </c>
    </row>
    <row r="6" ht="32" customHeight="1">
      <c r="A6" s="4" t="inlineStr">
        <is>
          <t>Objetivo</t>
        </is>
      </c>
      <c r="B6" s="4" t="inlineStr">
        <is>
          <t>Cumprir as restrições estruturais do regulamento (a–j) e, entre as soluções que cumprem, minimizar PRV</t>
        </is>
      </c>
    </row>
    <row r="7" ht="32" customHeight="1">
      <c r="A7" s="4" t="inlineStr">
        <is>
          <t>PRV</t>
        </is>
      </c>
      <c r="B7" s="4" t="inlineStr">
        <is>
          <t>Partidas com Reuso de Venue: dois jogos no MESMO estádio com intervalo &lt; 5 dias. Caso crítico: Maracanã (Flamengo e Fluminense mandantes)</t>
        </is>
      </c>
    </row>
    <row r="8" ht="32" customHeight="1">
      <c r="A8" s="4" t="inlineStr">
        <is>
          <t>Método</t>
        </is>
      </c>
      <c r="B8" s="4" t="inlineStr">
        <is>
          <t>GRASP multi-start (construção gulosa-aleatória) → ILS (VND + perturbações) sobre a melhor solução</t>
        </is>
      </c>
    </row>
    <row r="10" ht="22" customHeight="1">
      <c r="A10" s="3" t="inlineStr">
        <is>
          <t>Pipeline em 4 linhas</t>
        </is>
      </c>
    </row>
    <row r="11">
      <c r="A11" s="4" t="inlineStr">
        <is>
          <t>1. Carga</t>
        </is>
      </c>
      <c r="B11" s="4" t="inlineStr">
        <is>
          <t>cli.py lê teams.csv e o CSV de datas; converte datas em objetos date</t>
        </is>
      </c>
    </row>
    <row r="12">
      <c r="A12" s="4" t="inlineStr">
        <is>
          <t>2. GRASP</t>
        </is>
      </c>
      <c r="B12" s="4" t="inlineStr">
        <is>
          <t>N construções independentes (seed+i), cada uma avaliada; guarda a melhor pela chave lexicográfica</t>
        </is>
      </c>
    </row>
    <row r="13">
      <c r="A13" s="4" t="inlineStr">
        <is>
          <t>3. ILS</t>
        </is>
      </c>
      <c r="B13" s="4" t="inlineStr">
        <is>
          <t>Sobre a melhor do GRASP: VND → perturba k movimentos → VND → aceita se melhorar; k cresce ao estagnar</t>
        </is>
      </c>
    </row>
    <row r="14">
      <c r="A14" s="4" t="inlineStr">
        <is>
          <t>4. Saída</t>
        </is>
      </c>
      <c r="B14" s="4" t="inlineStr">
        <is>
          <t>evaluate() final + CSV (Rodada, Data, Mandante, Visitante, Estádio, PRV)</t>
        </is>
      </c>
    </row>
    <row r="16" ht="22" customHeight="1">
      <c r="A16" s="3" t="inlineStr">
        <is>
          <t>Números-chave desta execução</t>
        </is>
      </c>
    </row>
    <row r="17" ht="30" customHeight="1">
      <c r="A17" s="4" t="inlineStr">
        <is>
          <t>Melhor construção do GRASP (20 iterações)</t>
        </is>
      </c>
      <c r="B17" s="4" t="inlineStr">
        <is>
          <t>iteração 6, seed 47, alpha 0.2 → chave (0, 12, 7)</t>
        </is>
      </c>
      <c r="C17" s="4" t="inlineStr">
        <is>
          <t>aba GRASP</t>
        </is>
      </c>
    </row>
    <row r="18" ht="30" customHeight="1">
      <c r="A18" s="4" t="inlineStr">
        <is>
          <t>Após ILS</t>
        </is>
      </c>
      <c r="B18" s="4" t="inlineStr">
        <is>
          <t>chave (0, 4, 9) — soft estruturais 12 → 4, PRV 7 → 9</t>
        </is>
      </c>
      <c r="C18" s="4" t="inlineStr">
        <is>
          <t>aba Busca Local</t>
        </is>
      </c>
    </row>
    <row r="19" ht="30" customHeight="1">
      <c r="A19" s="4" t="inlineStr">
        <is>
          <t>Piso estrutural de (d)</t>
        </is>
      </c>
      <c r="B19" s="4" t="inlineStr">
        <is>
          <t>4 violações — fixado na etapa A' da construção, independente de seed</t>
        </is>
      </c>
      <c r="C19" s="4" t="inlineStr">
        <is>
          <t>aba Construção</t>
        </is>
      </c>
    </row>
    <row r="20" ht="30" customHeight="1">
      <c r="A20" s="4" t="inlineStr">
        <is>
          <t>Alpha da RCL</t>
        </is>
      </c>
      <c r="B20" s="4" t="inlineStr">
        <is>
          <t>Atua em apenas 34 de 450 rodadas medidas (7,6%) — a diversificação vem da seed</t>
        </is>
      </c>
      <c r="C20" s="4" t="inlineStr">
        <is>
          <t>aba Experimentos</t>
        </is>
      </c>
    </row>
    <row r="21" ht="30" customHeight="1">
      <c r="A21" s="4" t="inlineStr">
        <is>
          <t>Suíte de testes</t>
        </is>
      </c>
      <c r="B21" s="4" t="inlineStr">
        <is>
          <t>138 testes, 138 passando</t>
        </is>
      </c>
      <c r="C21" s="4" t="inlineStr">
        <is>
          <t>—</t>
        </is>
      </c>
    </row>
    <row r="23" ht="22" customHeight="1">
      <c r="A23" s="3" t="inlineStr">
        <is>
          <t>Índice</t>
        </is>
      </c>
    </row>
    <row r="24">
      <c r="A24" s="4" t="inlineStr">
        <is>
          <t>Pipeline</t>
        </is>
      </c>
      <c r="B24" s="4" t="inlineStr">
        <is>
          <t>Fluxo de execução: função por função, com arquivo e linha</t>
        </is>
      </c>
    </row>
    <row r="25">
      <c r="A25" s="4" t="inlineStr">
        <is>
          <t>Módulos</t>
        </is>
      </c>
      <c r="B25" s="4" t="inlineStr">
        <is>
          <t>Mapa dos arquivos e responsabilidades</t>
        </is>
      </c>
    </row>
    <row r="26">
      <c r="A26" s="4" t="inlineStr">
        <is>
          <t>Restrições</t>
        </is>
      </c>
      <c r="B26" s="4" t="inlineStr">
        <is>
          <t>As 10 restrições (a–j): tipo, peso, onde são garantidas</t>
        </is>
      </c>
    </row>
    <row r="27">
      <c r="A27" s="4" t="inlineStr">
        <is>
          <t>Construção</t>
        </is>
      </c>
      <c r="B27" s="4" t="inlineStr">
        <is>
          <t>As etapas internas de construct_schedule com números reais</t>
        </is>
      </c>
    </row>
    <row r="28">
      <c r="A28" s="4" t="inlineStr">
        <is>
          <t>GRASP</t>
        </is>
      </c>
      <c r="B28" s="4" t="inlineStr">
        <is>
          <t>Traço iteração a iteração (fórmulas calculam a chave lexicográfica)</t>
        </is>
      </c>
    </row>
    <row r="29">
      <c r="A29" s="4" t="inlineStr">
        <is>
          <t>Objetivo</t>
        </is>
      </c>
      <c r="B29" s="4" t="inlineStr">
        <is>
          <t>Como a chave (hard, soft, prv) decide quem é melhor</t>
        </is>
      </c>
    </row>
    <row r="30">
      <c r="A30" s="4" t="inlineStr">
        <is>
          <t>Busca Local</t>
        </is>
      </c>
      <c r="B30" s="4" t="inlineStr">
        <is>
          <t>VND, vizinhanças, âncoras, ILS — antes/depois</t>
        </is>
      </c>
    </row>
    <row r="31">
      <c r="A31" s="4" t="inlineStr">
        <is>
          <t>Experimentos</t>
        </is>
      </c>
      <c r="B31" s="4" t="inlineStr">
        <is>
          <t>Alpha inerte; embaralhar times; 30 seeds</t>
        </is>
      </c>
    </row>
    <row r="32">
      <c r="A32" s="4" t="inlineStr">
        <is>
          <t>Pontos de Atenção</t>
        </is>
      </c>
      <c r="B32" s="4" t="inlineStr">
        <is>
          <t>Achados do debug e recomendações para o orientador</t>
        </is>
      </c>
    </row>
    <row r="33">
      <c r="A33" s="4" t="inlineStr">
        <is>
          <t>Parâmetros CLI</t>
        </is>
      </c>
      <c r="B33" s="4" t="inlineStr">
        <is>
          <t>Flags e defaults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44" customWidth="1" min="4" max="4"/>
    <col width="52" customWidth="1" min="5" max="5"/>
  </cols>
  <sheetData>
    <row r="1" ht="28" customHeight="1">
      <c r="A1" s="1" t="inlineStr">
        <is>
          <t>Fluxo de execução</t>
        </is>
      </c>
    </row>
    <row r="2">
      <c r="A2" s="2" t="inlineStr">
        <is>
          <t>Ordem real das chamadas a partir de `python -m brasileirao.cli`</t>
        </is>
      </c>
    </row>
    <row r="4" ht="30" customHeight="1">
      <c r="A4" s="5" t="inlineStr">
        <is>
          <t>#</t>
        </is>
      </c>
      <c r="B4" s="5" t="inlineStr">
        <is>
          <t>Função</t>
        </is>
      </c>
      <c r="C4" s="5" t="inlineStr">
        <is>
          <t>Arquivo:linha</t>
        </is>
      </c>
      <c r="D4" s="5" t="inlineStr">
        <is>
          <t>Entrada → Saída</t>
        </is>
      </c>
      <c r="E4" s="5" t="inlineStr">
        <is>
          <t>O que faz</t>
        </is>
      </c>
    </row>
    <row r="5" ht="42" customHeight="1">
      <c r="A5" s="4" t="n">
        <v>1</v>
      </c>
      <c r="B5" s="4" t="inlineStr">
        <is>
          <t>main()</t>
        </is>
      </c>
      <c r="C5" s="4" t="inlineStr">
        <is>
          <t>cli.py:33</t>
        </is>
      </c>
      <c r="D5" s="4" t="inlineStr">
        <is>
          <t>argv → args</t>
        </is>
      </c>
      <c r="E5" s="4" t="inlineStr">
        <is>
          <t>Ponto de entrada. argparse com defaults (seed 42, GRASP 50/20, ILS 200/20)</t>
        </is>
      </c>
    </row>
    <row r="6" ht="42" customHeight="1">
      <c r="A6" s="4" t="n">
        <v>2</v>
      </c>
      <c r="B6" s="4" t="inlineStr">
        <is>
          <t>load_teams()</t>
        </is>
      </c>
      <c r="C6" s="4" t="inlineStr">
        <is>
          <t>io.py:13</t>
        </is>
      </c>
      <c r="D6" s="4" t="inlineStr">
        <is>
          <t>teams.csv → dict[nome → Team(name, stadium, state)]</t>
        </is>
      </c>
      <c r="E6" s="4" t="inlineStr">
        <is>
          <t>dict na ORDEM do CSV; essa ordem alimenta o circle_method</t>
        </is>
      </c>
    </row>
    <row r="7" ht="42" customHeight="1">
      <c r="A7" s="4" t="n">
        <v>3</v>
      </c>
      <c r="B7" s="4" t="inlineStr">
        <is>
          <t>load_dates() + parse_day()</t>
        </is>
      </c>
      <c r="C7" s="4" t="inlineStr">
        <is>
          <t>io.py:6 / dates.py:24</t>
        </is>
      </c>
      <c r="D7" s="4" t="inlineStr">
        <is>
          <t>CSV → list[str] → list[date] ordenada</t>
        </is>
      </c>
      <c r="E7" s="4" t="inlineStr">
        <is>
          <t>Strings dd/mm/aaaa viram date. parse_day tem lru_cache (chamado ~79k vezes no ILS)</t>
        </is>
      </c>
    </row>
    <row r="8" ht="42" customHeight="1">
      <c r="A8" s="4" t="n">
        <v>4</v>
      </c>
      <c r="B8" s="4" t="inlineStr">
        <is>
          <t>grasp()</t>
        </is>
      </c>
      <c r="C8" s="4" t="inlineStr">
        <is>
          <t>grasp.py:46</t>
        </is>
      </c>
      <c r="D8" s="4" t="inlineStr">
        <is>
          <t>(teams, dates, params) → GRASPResult</t>
        </is>
      </c>
      <c r="E8" s="4" t="inlineStr">
        <is>
          <t>Loop multi-start: para i em 0..max_iter: construct + evaluate; guarda melhor; para por teto ou estagnação</t>
        </is>
      </c>
    </row>
    <row r="9" ht="42" customHeight="1">
      <c r="A9" s="4" t="n">
        <v>5</v>
      </c>
      <c r="B9" s="4" t="inlineStr">
        <is>
          <t xml:space="preserve">  construct_schedule()</t>
        </is>
      </c>
      <c r="C9" s="4" t="inlineStr">
        <is>
          <t>construction.py:916</t>
        </is>
      </c>
      <c r="D9" s="4" t="inlineStr">
        <is>
          <t>(teams, dates, alpha, seed) → list[ScheduledMatch] (380)</t>
        </is>
      </c>
      <c r="E9" s="4">
        <f> build_matches_with_homes → assign_dates_to_matches</f>
        <v/>
      </c>
    </row>
    <row r="10" ht="42" customHeight="1">
      <c r="A10" s="4" t="n">
        <v>6</v>
      </c>
      <c r="B10" s="4" t="inlineStr">
        <is>
          <t xml:space="preserve">    build_matches_with_homes()</t>
        </is>
      </c>
      <c r="C10" s="4" t="inlineStr">
        <is>
          <t>construction.py:457</t>
        </is>
      </c>
      <c r="D10" s="4" t="inlineStr">
        <is>
          <t>teams → dict[rodada → list[Match]] (38 × 10)</t>
        </is>
      </c>
      <c r="E10" s="4" t="inlineStr">
        <is>
          <t>Etapas A' (quarteto), 2-coloração, B (RCL R3–R17), C (R18/R19), returno espelhado</t>
        </is>
      </c>
    </row>
    <row r="11" ht="42" customHeight="1">
      <c r="A11" s="4" t="n">
        <v>7</v>
      </c>
      <c r="B11" s="4" t="inlineStr">
        <is>
          <t xml:space="preserve">    assign_dates_to_matches()</t>
        </is>
      </c>
      <c r="C11" s="4" t="inlineStr">
        <is>
          <t>construction.py:842</t>
        </is>
      </c>
      <c r="D11" s="4" t="inlineStr">
        <is>
          <t>dict rodadas → list[ScheduledMatch]</t>
        </is>
      </c>
      <c r="E11" s="4" t="inlineStr">
        <is>
          <t>Janela de round_span dias a cada round_gap; distribuição balanceada; 2-opt local de PRV; R38 em data única</t>
        </is>
      </c>
    </row>
    <row r="12" ht="42" customHeight="1">
      <c r="A12" s="4" t="n">
        <v>8</v>
      </c>
      <c r="B12" s="4" t="inlineStr">
        <is>
          <t xml:space="preserve">  evaluate()</t>
        </is>
      </c>
      <c r="C12" s="4" t="inlineStr">
        <is>
          <t>objective.py:171</t>
        </is>
      </c>
      <c r="D12" s="4" t="inlineStr">
        <is>
          <t>Schedule → EvaluationResult</t>
        </is>
      </c>
      <c r="E12" s="4" t="inlineStr">
        <is>
          <t>Roda as 10 checagens do registry; separa hard/soft por CONSTRAINT_HARDNESS; calcula PRV</t>
        </is>
      </c>
    </row>
    <row r="13" ht="42" customHeight="1">
      <c r="A13" s="4" t="n">
        <v>9</v>
      </c>
      <c r="B13" s="4" t="inlineStr">
        <is>
          <t>iterated_local_search()</t>
        </is>
      </c>
      <c r="C13" s="4" t="inlineStr">
        <is>
          <t>ils.py:128</t>
        </is>
      </c>
      <c r="D13" s="4" t="inlineStr">
        <is>
          <t>(melhor do GRASP) → Schedule</t>
        </is>
      </c>
      <c r="E13" s="4" t="inlineStr">
        <is>
          <t>VND inicial; loop: perturb(k) → VND → aceita se is_better_than; k = k_min ao melhorar, k += step ao estagnar</t>
        </is>
      </c>
    </row>
    <row r="14" ht="42" customHeight="1">
      <c r="A14" s="4" t="n">
        <v>10</v>
      </c>
      <c r="B14" s="4" t="inlineStr">
        <is>
          <t xml:space="preserve">  local_search() [VND]</t>
        </is>
      </c>
      <c r="C14" s="4" t="inlineStr">
        <is>
          <t>local_search.py:294</t>
        </is>
      </c>
      <c r="D14" s="4" t="inlineStr">
        <is>
          <t>Schedule → Schedule</t>
        </is>
      </c>
      <c r="E14" s="4" t="inlineStr">
        <is>
          <t>Vizinhanças ordenadas [swap_homes, swap_days]; best-improvement; volta à 1ª ao melhorar; rodadas âncora congeladas</t>
        </is>
      </c>
    </row>
    <row r="15" ht="42" customHeight="1">
      <c r="A15" s="4" t="n">
        <v>11</v>
      </c>
      <c r="B15" s="4" t="inlineStr">
        <is>
          <t>evaluate() + save_schedule_csv()</t>
        </is>
      </c>
      <c r="C15" s="4" t="inlineStr">
        <is>
          <t>cli.py:145 / io.py:60</t>
        </is>
      </c>
      <c r="D15" s="4" t="inlineStr">
        <is>
          <t>Schedule → CSV</t>
        </is>
      </c>
      <c r="E15" s="4" t="inlineStr">
        <is>
          <t>Avaliação final, resumo por estádio, CSV em results/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2" customWidth="1" min="3" max="3"/>
    <col width="44" customWidth="1" min="4" max="4"/>
  </cols>
  <sheetData>
    <row r="1" ht="28" customHeight="1">
      <c r="A1" s="1" t="inlineStr">
        <is>
          <t>Mapa dos módulos (src/brasileirao/)</t>
        </is>
      </c>
    </row>
    <row r="3" ht="30" customHeight="1">
      <c r="A3" s="5" t="inlineStr">
        <is>
          <t>Arquivo</t>
        </is>
      </c>
      <c r="B3" s="5" t="inlineStr">
        <is>
          <t>Linhas</t>
        </is>
      </c>
      <c r="C3" s="5" t="inlineStr">
        <is>
          <t>Responsabilidade</t>
        </is>
      </c>
      <c r="D3" s="5" t="inlineStr">
        <is>
          <t>Exporta</t>
        </is>
      </c>
    </row>
    <row r="4" ht="30" customHeight="1">
      <c r="A4" s="4" t="inlineStr">
        <is>
          <t>cli.py</t>
        </is>
      </c>
      <c r="B4" s="4" t="n">
        <v>176</v>
      </c>
      <c r="C4" s="4" t="inlineStr">
        <is>
          <t>Orquestração da pipeline e argumentos de linha de comando</t>
        </is>
      </c>
      <c r="D4" s="4" t="inlineStr">
        <is>
          <t>main()</t>
        </is>
      </c>
    </row>
    <row r="5" ht="30" customHeight="1">
      <c r="A5" s="4" t="inlineStr">
        <is>
          <t>construction.py</t>
        </is>
      </c>
      <c r="B5" s="4" t="n">
        <v>942</v>
      </c>
      <c r="C5" s="4" t="inlineStr">
        <is>
          <t>Coração do GRASP: escolha de matchings, mandos (RCL) e datas</t>
        </is>
      </c>
      <c r="D5" s="4" t="inlineStr">
        <is>
          <t>construct_schedule, build_matches_with_homes, assign_dates_to_matches</t>
        </is>
      </c>
    </row>
    <row r="6" ht="30" customHeight="1">
      <c r="A6" s="4" t="inlineStr">
        <is>
          <t>grasp.py</t>
        </is>
      </c>
      <c r="B6" s="4" t="n">
        <v>146</v>
      </c>
      <c r="C6" s="4" t="inlineStr">
        <is>
          <t>Loop multi-start; histórico de iterações</t>
        </is>
      </c>
      <c r="D6" s="4" t="inlineStr">
        <is>
          <t>grasp, GRASPResult, DEFAULT_ALPHA_POOL</t>
        </is>
      </c>
    </row>
    <row r="7" ht="30" customHeight="1">
      <c r="A7" s="4" t="inlineStr">
        <is>
          <t>local_search.py</t>
        </is>
      </c>
      <c r="B7" s="4" t="n">
        <v>343</v>
      </c>
      <c r="C7" s="4" t="inlineStr">
        <is>
          <t>VND: vizinhanças swap_homes / swap_days, descend, motor</t>
        </is>
      </c>
      <c r="D7" s="4" t="inlineStr">
        <is>
          <t>local_search, descend, NEIGHBORHOODS, FROZEN_ROUNDS</t>
        </is>
      </c>
    </row>
    <row r="8" ht="30" customHeight="1">
      <c r="A8" s="4" t="inlineStr">
        <is>
          <t>ils.py</t>
        </is>
      </c>
      <c r="B8" s="4" t="n">
        <v>199</v>
      </c>
      <c r="C8" s="4" t="inlineStr">
        <is>
          <t>Iterated Local Search: perturbação e aceitação better-only</t>
        </is>
      </c>
      <c r="D8" s="4" t="inlineStr">
        <is>
          <t>iterated_local_search, perturb, next_k</t>
        </is>
      </c>
    </row>
    <row r="9" ht="30" customHeight="1">
      <c r="A9" s="4" t="inlineStr">
        <is>
          <t>objective.py</t>
        </is>
      </c>
      <c r="B9" s="4" t="n">
        <v>237</v>
      </c>
      <c r="C9" s="4" t="inlineStr">
        <is>
          <t>PRV, evaluate, dureza das restrições (CONSTRAINT_HARDNESS)</t>
        </is>
      </c>
      <c r="D9" s="4" t="inlineStr">
        <is>
          <t>evaluate, compute_prv, hard_constraint_ids, set_all_hard</t>
        </is>
      </c>
    </row>
    <row r="10" ht="30" customHeight="1">
      <c r="A10" s="4" t="inlineStr">
        <is>
          <t>constraints.py</t>
        </is>
      </c>
      <c r="B10" s="4" t="n">
        <v>319</v>
      </c>
      <c r="C10" s="4" t="inlineStr">
        <is>
          <t>Uma função pura por restrição (a–j) + registry CONSTRAINT_CHECKS</t>
        </is>
      </c>
      <c r="D10" s="4" t="inlineStr">
        <is>
          <t>check_a … check_j, check_all</t>
        </is>
      </c>
    </row>
    <row r="11" ht="30" customHeight="1">
      <c r="A11" s="4" t="inlineStr">
        <is>
          <t>domain.py</t>
        </is>
      </c>
      <c r="B11" s="4" t="n">
        <v>95</v>
      </c>
      <c r="C11" s="4" t="inlineStr">
        <is>
          <t>Dataclasses imutáveis: Team, Match, ScheduledMatch, EvaluationResult (lexicographic_key)</t>
        </is>
      </c>
      <c r="D11" s="4" t="inlineStr">
        <is>
          <t>tipos do domínio</t>
        </is>
      </c>
    </row>
    <row r="12" ht="30" customHeight="1">
      <c r="A12" s="4" t="inlineStr">
        <is>
          <t>round_robin.py</t>
        </is>
      </c>
      <c r="B12" s="4" t="n">
        <v>24</v>
      </c>
      <c r="C12" s="4" t="inlineStr">
        <is>
          <t>Método do círculo: 19 matchings para 20 times</t>
        </is>
      </c>
      <c r="D12" s="4" t="inlineStr">
        <is>
          <t>circle_method</t>
        </is>
      </c>
    </row>
    <row r="13" ht="30" customHeight="1">
      <c r="A13" s="4" t="inlineStr">
        <is>
          <t>dates.py</t>
        </is>
      </c>
      <c r="B13" s="4" t="n">
        <v>28</v>
      </c>
      <c r="C13" s="4" t="inlineStr">
        <is>
          <t>parse_day com cache (formato dd/mm/aaaa)</t>
        </is>
      </c>
      <c r="D13" s="4" t="inlineStr">
        <is>
          <t>parse_day, DATE_FMT</t>
        </is>
      </c>
    </row>
    <row r="14" ht="30" customHeight="1">
      <c r="A14" s="4" t="inlineStr">
        <is>
          <t>io.py</t>
        </is>
      </c>
      <c r="B14" s="4" t="n">
        <v>81</v>
      </c>
      <c r="C14" s="4" t="inlineStr">
        <is>
          <t>Leitura de CSVs e gravação do calendário final</t>
        </is>
      </c>
      <c r="D14" s="4" t="inlineStr">
        <is>
          <t>load_teams, load_dates, save_schedule_csv</t>
        </is>
      </c>
    </row>
    <row r="15" ht="30" customHeight="1">
      <c r="A15" s="4" t="inlineStr">
        <is>
          <t>real_baseline.py</t>
        </is>
      </c>
      <c r="B15" s="4" t="n">
        <v>57</v>
      </c>
      <c r="C15" s="4" t="inlineStr">
        <is>
          <t>Avalia o calendário real de 2023 para comparação</t>
        </is>
      </c>
      <c r="D15" s="4" t="inlineStr">
        <is>
          <t>—</t>
        </is>
      </c>
    </row>
    <row r="17" ht="30" customHeight="1">
      <c r="A17" s="6" t="inlineStr">
        <is>
          <t>Testes: 12 arquivos em tests/ — 138 testes passando. Cobrem determinismo por seed, propriedades estruturais (19 rodadas, cada par 2×), cada restrição isolada, VND, ILS, rodada simultânea e dureza configurável.</t>
        </is>
      </c>
    </row>
  </sheetData>
  <mergeCells count="1"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9" customWidth="1" min="3" max="3"/>
    <col width="8" customWidth="1" min="4" max="4"/>
    <col width="32" customWidth="1" min="5" max="5"/>
    <col width="40" customWidth="1" min="6" max="6"/>
    <col width="14" customWidth="1" min="7" max="7"/>
  </cols>
  <sheetData>
    <row r="1" ht="28" customHeight="1">
      <c r="A1" s="1" t="inlineStr">
        <is>
          <t>As 10 restrições do modelo</t>
        </is>
      </c>
    </row>
    <row r="2">
      <c r="A2" s="2" t="inlineStr">
        <is>
          <t>Fonte: docs/specs/constraints.md e constraints.py. Hard = bloqueia viabilidade; Soft = penalizada.</t>
        </is>
      </c>
    </row>
    <row r="4" ht="30" customHeight="1">
      <c r="A4" s="5" t="inlineStr">
        <is>
          <t>ID</t>
        </is>
      </c>
      <c r="B4" s="5" t="inlineStr">
        <is>
          <t>Descrição</t>
        </is>
      </c>
      <c r="C4" s="5" t="inlineStr">
        <is>
          <t>Tipo</t>
        </is>
      </c>
      <c r="D4" s="5" t="inlineStr">
        <is>
          <t>Peso</t>
        </is>
      </c>
      <c r="E4" s="5" t="inlineStr">
        <is>
          <t>Onde é garantida</t>
        </is>
      </c>
      <c r="F4" s="5" t="inlineStr">
        <is>
          <t>Observação</t>
        </is>
      </c>
      <c r="G4" s="5" t="inlineStr">
        <is>
          <t>Valor (it 1, seed 42)</t>
        </is>
      </c>
    </row>
    <row r="5" ht="32" customHeight="1">
      <c r="A5" s="4" t="inlineStr">
        <is>
          <t>a</t>
        </is>
      </c>
      <c r="B5" s="4" t="inlineStr">
        <is>
          <t>Cada time joga exatamente 1× por rodada</t>
        </is>
      </c>
      <c r="C5" s="4" t="inlineStr">
        <is>
          <t>hard</t>
        </is>
      </c>
      <c r="D5" s="4" t="n">
        <v>100</v>
      </c>
      <c r="E5" s="4" t="inlineStr">
        <is>
          <t>Construção (circle_method)</t>
        </is>
      </c>
      <c r="F5" s="4" t="inlineStr">
        <is>
          <t>Impossível violar: matchings são perfeitos</t>
        </is>
      </c>
      <c r="G5" s="4" t="n">
        <v>0</v>
      </c>
    </row>
    <row r="6" ht="32" customHeight="1">
      <c r="A6" s="4" t="inlineStr">
        <is>
          <t>b</t>
        </is>
      </c>
      <c r="B6" s="4" t="inlineStr">
        <is>
          <t>Duplo round-robin: cada par 2×, mandos invertidos</t>
        </is>
      </c>
      <c r="C6" s="4" t="inlineStr">
        <is>
          <t>hard</t>
        </is>
      </c>
      <c r="D6" s="4" t="n">
        <v>100</v>
      </c>
      <c r="E6" s="4" t="inlineStr">
        <is>
          <t>Construção (returno = espelho)</t>
        </is>
      </c>
      <c r="F6" s="4" t="inlineStr">
        <is>
          <t>R(r+19) = R(r) com mando trocado</t>
        </is>
      </c>
      <c r="G6" s="4" t="n">
        <v>0</v>
      </c>
    </row>
    <row r="7" ht="32" customHeight="1">
      <c r="A7" s="4" t="inlineStr">
        <is>
          <t>c</t>
        </is>
      </c>
      <c r="B7" s="4" t="inlineStr">
        <is>
          <t>R1 e R2: todo time alterna casa/fora</t>
        </is>
      </c>
      <c r="C7" s="4" t="inlineStr">
        <is>
          <t>soft</t>
        </is>
      </c>
      <c r="D7" s="4" t="n">
        <v>100</v>
      </c>
      <c r="E7" s="4" t="inlineStr">
        <is>
          <t>Construção (2-coloração R1 ∪ R2)</t>
        </is>
      </c>
      <c r="F7" s="4" t="inlineStr">
        <is>
          <t>Grafo bipartido → sempre 0</t>
        </is>
      </c>
      <c r="G7" s="4" t="n">
        <v>0</v>
      </c>
    </row>
    <row r="8" ht="32" customHeight="1">
      <c r="A8" s="7" t="inlineStr">
        <is>
          <t>d</t>
        </is>
      </c>
      <c r="B8" s="7" t="inlineStr">
        <is>
          <t>R18 espelha R1 e R19 espelha R2 (mando inverso por time)</t>
        </is>
      </c>
      <c r="C8" s="7" t="inlineStr">
        <is>
          <t>soft</t>
        </is>
      </c>
      <c r="D8" s="7" t="n">
        <v>100</v>
      </c>
      <c r="E8" s="7" t="inlineStr">
        <is>
          <t>Etapa A' + Etapa C</t>
        </is>
      </c>
      <c r="F8" s="7" t="inlineStr">
        <is>
          <t>PISO ESTRUTURAL = 4: nenhum quarteto faz menos</t>
        </is>
      </c>
      <c r="G8" s="7" t="n">
        <v>4</v>
      </c>
    </row>
    <row r="9" ht="32" customHeight="1">
      <c r="A9" s="4" t="inlineStr">
        <is>
          <t>e</t>
        </is>
      </c>
      <c r="B9" s="4" t="inlineStr">
        <is>
          <t>R38 sem clássico estadual</t>
        </is>
      </c>
      <c r="C9" s="4" t="inlineStr">
        <is>
          <t>soft</t>
        </is>
      </c>
      <c r="D9" s="4" t="n">
        <v>100</v>
      </c>
      <c r="E9" s="4" t="inlineStr">
        <is>
          <t>Etapa C (ordem R18/R19)</t>
        </is>
      </c>
      <c r="F9" s="4" t="inlineStr">
        <is>
          <t>R38 = espelho de R19; matching limpo vai para R19</t>
        </is>
      </c>
      <c r="G9" s="4" t="n">
        <v>0</v>
      </c>
    </row>
    <row r="10" ht="32" customHeight="1">
      <c r="A10" s="4" t="inlineStr">
        <is>
          <t>f</t>
        </is>
      </c>
      <c r="B10" s="4" t="inlineStr">
        <is>
          <t>Turno: |casa − fora| ≤ 1 por time</t>
        </is>
      </c>
      <c r="C10" s="4" t="inlineStr">
        <is>
          <t>soft</t>
        </is>
      </c>
      <c r="D10" s="4" t="n">
        <v>100</v>
      </c>
      <c r="E10" s="4" t="inlineStr">
        <is>
          <t>RCL (peso 100 na construção)</t>
        </is>
      </c>
      <c r="F10" s="4" t="inlineStr">
        <is>
          <t>Otimizada; residual pequeno</t>
        </is>
      </c>
      <c r="G10" s="4" t="n">
        <v>3</v>
      </c>
    </row>
    <row r="11" ht="32" customHeight="1">
      <c r="A11" s="4" t="inlineStr">
        <is>
          <t>g</t>
        </is>
      </c>
      <c r="B11" s="4" t="inlineStr">
        <is>
          <t>Máx. 2 jogos seguidos em casa ou fora</t>
        </is>
      </c>
      <c r="C11" s="4" t="inlineStr">
        <is>
          <t>soft</t>
        </is>
      </c>
      <c r="D11" s="4" t="n">
        <v>100</v>
      </c>
      <c r="E11" s="4" t="inlineStr">
        <is>
          <t>RCL (peso 300) + filtro g=0</t>
        </is>
      </c>
      <c r="F11" s="4" t="inlineStr">
        <is>
          <t>Maior fonte de violações soft após construção</t>
        </is>
      </c>
      <c r="G11" s="4" t="n">
        <v>15</v>
      </c>
    </row>
    <row r="12" ht="32" customHeight="1">
      <c r="A12" s="8" t="inlineStr">
        <is>
          <t>h</t>
        </is>
      </c>
      <c r="B12" s="8" t="inlineStr">
        <is>
          <t>PRV: ≥ 5 dias entre jogos no mesmo estádio</t>
        </is>
      </c>
      <c r="C12" s="8" t="inlineStr">
        <is>
          <t>soft</t>
        </is>
      </c>
      <c r="D12" s="8" t="inlineStr">
        <is>
          <t>0 *</t>
        </is>
      </c>
      <c r="E12" s="8" t="inlineStr">
        <is>
          <t>Atribuição de datas + VND/ILS</t>
        </is>
      </c>
      <c r="F12" s="8" t="inlineStr">
        <is>
          <t>Peso 0 no custo: já contado em total_prv. 3º componente da chave</t>
        </is>
      </c>
      <c r="G12" s="8" t="n">
        <v>7</v>
      </c>
    </row>
    <row r="13" ht="32" customHeight="1">
      <c r="A13" s="4" t="inlineStr">
        <is>
          <t>i</t>
        </is>
      </c>
      <c r="B13" s="4" t="inlineStr">
        <is>
          <t>Span da rodada ≤ 2 dias (round_span=3)</t>
        </is>
      </c>
      <c r="C13" s="4" t="inlineStr">
        <is>
          <t>hard</t>
        </is>
      </c>
      <c r="D13" s="4" t="n">
        <v>100</v>
      </c>
      <c r="E13" s="4" t="inlineStr">
        <is>
          <t>Atribuição de datas (janela)</t>
        </is>
      </c>
      <c r="F13" s="4" t="inlineStr">
        <is>
          <t>Garantida pela janela de 3 dias</t>
        </is>
      </c>
      <c r="G13" s="4" t="n">
        <v>0</v>
      </c>
    </row>
    <row r="14" ht="32" customHeight="1">
      <c r="A14" s="4" t="inlineStr">
        <is>
          <t>j</t>
        </is>
      </c>
      <c r="B14" s="4" t="inlineStr">
        <is>
          <t>Sem encavalamento entre rodadas consecutivas</t>
        </is>
      </c>
      <c r="C14" s="4" t="inlineStr">
        <is>
          <t>hard</t>
        </is>
      </c>
      <c r="D14" s="4" t="n">
        <v>100</v>
      </c>
      <c r="E14" s="4" t="inlineStr">
        <is>
          <t>Atribuição de datas (round_gap=7)</t>
        </is>
      </c>
      <c r="F14" s="4" t="inlineStr">
        <is>
          <t>Última data de r &lt; primeira de r+1</t>
        </is>
      </c>
      <c r="G14" s="4" t="n">
        <v>0</v>
      </c>
    </row>
    <row r="16" ht="44" customHeight="1">
      <c r="A16" s="6" t="inlineStr">
        <is>
          <t>* (h) tem peso 0 em DEFAULT_WEIGHTS por design: o custo do PRV já entra como w[prv] × total_prv. Contar de novo seria dupla contagem. Dureza é configurável em CONSTRAINT_HARDNESS (objective.py:47); default hard = {a, b, i, j}. A flag --all-hard marca todas como hard por execução — neste dataset isso torna o problema inviável (piso de d = 4; PRV &gt; 0 no Maracanã).</t>
        </is>
      </c>
    </row>
  </sheetData>
  <mergeCells count="1">
    <mergeCell ref="A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6" customWidth="1" min="3" max="3"/>
    <col width="56" customWidth="1" min="4" max="4"/>
  </cols>
  <sheetData>
    <row r="1" ht="28" customHeight="1">
      <c r="A1" s="1" t="inlineStr">
        <is>
          <t>construct_schedule — etapa por etapa</t>
        </is>
      </c>
    </row>
    <row r="2">
      <c r="A2" s="2" t="inlineStr">
        <is>
          <t>build_matches_with_homes (Parte 1) → assign_dates_to_matches (Parte 2). Números da seed 42.</t>
        </is>
      </c>
    </row>
    <row r="4" ht="30" customHeight="1">
      <c r="A4" s="5" t="inlineStr">
        <is>
          <t>Etapa</t>
        </is>
      </c>
      <c r="B4" s="5" t="inlineStr">
        <is>
          <t>Código</t>
        </is>
      </c>
      <c r="C4" s="5" t="inlineStr">
        <is>
          <t>O que faz</t>
        </is>
      </c>
      <c r="D4" s="5" t="inlineStr">
        <is>
          <t>Números reais / evidência</t>
        </is>
      </c>
    </row>
    <row r="5" ht="100" customHeight="1">
      <c r="A5" s="4" t="inlineStr">
        <is>
          <t>0. circle_method</t>
        </is>
      </c>
      <c r="B5" s="4" t="inlineStr">
        <is>
          <t>round_robin.py:5</t>
        </is>
      </c>
      <c r="C5" s="4" t="inlineStr">
        <is>
          <t>Gera 19 matchings (grupos de 10 pares) para 20 times. Fixa o 1º time e rotaciona os demais. Só decide QUEM × QUEM, sem mando.</t>
        </is>
      </c>
      <c r="D5" s="4" t="inlineStr">
        <is>
          <t>Com a ordem do CSV fixa, os 19 matchings são IDÊNTICOS em toda seed (30 de 30 testadas). Fla × Flu está sempre no matching #4 com os mesmos 9 outros jogos.</t>
        </is>
      </c>
    </row>
    <row r="6" ht="100" customHeight="1">
      <c r="A6" s="4" t="inlineStr">
        <is>
          <t>A'. Quarteto R1/R2/R18/R19</t>
        </is>
      </c>
      <c r="B6" s="4" t="inlineStr">
        <is>
          <t>construction.py:190</t>
        </is>
      </c>
      <c r="C6" s="4" t="inlineStr">
        <is>
          <t>Escolhe (R1, R2) e reserva {R18, R19} juntos. Para cada combinação, 2-colore R1 ∪ R2 e conta confrontos de R18+R19 que juntam times da MESMA cor — cada um é 1 violação de (d) inevitável. Critério: (incompatíveis, min clássicos). Empates sorteados.</t>
        </is>
      </c>
      <c r="D6" s="4" t="inlineStr">
        <is>
          <t>46.512 combinações testadas (19·18·C(17,2)). Melhor chave = (4, 0). 1.116 combinações empatam → rng.choice. O piso de (d) = 4 nasce AQUI, antes de qualquer sorteio.</t>
        </is>
      </c>
    </row>
    <row r="7" ht="100" customHeight="1">
      <c r="A7" s="4" t="inlineStr">
        <is>
          <t>2-coloração</t>
        </is>
      </c>
      <c r="B7" s="4" t="inlineStr">
        <is>
          <t>construction.py:127</t>
        </is>
      </c>
      <c r="C7" s="4" t="inlineStr">
        <is>
          <t>R1 ∪ R2 é um grafo onde todo vértice tem grau 2 (uma aresta de cada) → só ciclos, alternando R1/R2 → tamanho par → bipartido. A cor vira o mando em R1; R2 é o oposto forçado.</t>
        </is>
      </c>
      <c r="D7" s="4" t="inlineStr">
        <is>
          <t>20 de 20 times alternam → (c) = 0 por construção. A cor inicial de cada componente é sorteada (rng.random() &lt; 0.5): diversidade sem quebrar (c).</t>
        </is>
      </c>
    </row>
    <row r="8" ht="100" customHeight="1">
      <c r="A8" s="4" t="inlineStr">
        <is>
          <t>B. RCL para R3–R17</t>
        </is>
      </c>
      <c r="B8" s="4" t="inlineStr">
        <is>
          <t>construction.py:557</t>
        </is>
      </c>
      <c r="C8" s="4" t="inlineStr">
        <is>
          <t>Para cada rodada: candidatos = (matchings restantes) × (2^10 orientações). Custo = 100·f + 300·g. Se algum candidato tem g = 0, o pool fica só com esses. Limiar = c_min + α·(c_max − c_min); sorteia 1 da RCL.</t>
        </is>
      </c>
      <c r="D8" s="4" t="inlineStr">
        <is>
          <t>Na seed 42, em 15 de 15 rodadas c_min = c_max = 0 → a RCL é o pool inteiro, para qualquer α. Escolha efetivamente uniforme entre candidatos g-viáveis. Ver aba Experimentos.</t>
        </is>
      </c>
    </row>
    <row r="9" ht="100" customHeight="1">
      <c r="A9" s="4" t="inlineStr">
        <is>
          <t>C. R18 e R19</t>
        </is>
      </c>
      <c r="B9" s="4" t="inlineStr">
        <is>
          <t>construction.py:252</t>
        </is>
      </c>
      <c r="C9" s="4" t="inlineStr">
        <is>
          <t>Os 2 matchings reservados. Ordem decidida por (e): o sem clássico estadual vai para R19 (→ R38). Enumera 2^10 orientações para R18 minimizando d_resid + g, depois 2^10 para R19 dado o estado pós-R18.</t>
        </is>
      </c>
      <c r="D9" s="4" t="inlineStr">
        <is>
          <t>Único ponto que otimiza (d) diretamente — e só alcança o piso já fixado na A'. Pesos ETAPA_C_WEIGHTS d:1, g:1.</t>
        </is>
      </c>
    </row>
    <row r="10" ht="100" customHeight="1">
      <c r="A10" s="4" t="inlineStr">
        <is>
          <t>Returno</t>
        </is>
      </c>
      <c r="B10" s="4" t="inlineStr">
        <is>
          <t>construction.py:664</t>
        </is>
      </c>
      <c r="C10" s="4" t="inlineStr">
        <is>
          <t>R(r+19) = R(r) com mando invertido. Nenhuma decisão.</t>
        </is>
      </c>
      <c r="D10" s="4" t="inlineStr">
        <is>
          <t>Garante (b) de graça. Por isso as âncoras da busca local incluem 20, 21, 37, 38 (espelhos de 1, 2, 18, 19).</t>
        </is>
      </c>
    </row>
    <row r="11" ht="100" customHeight="1">
      <c r="A11" s="4" t="inlineStr">
        <is>
          <t>Parte 2. Datas</t>
        </is>
      </c>
      <c r="B11" s="4" t="inlineStr">
        <is>
          <t>construction.py:842</t>
        </is>
      </c>
      <c r="C11" s="4" t="inlineStr">
        <is>
          <t>Rodada r usa janela de round_span=3 dias a partir de dates[(r−1)·7]. Tenta distribuição balanceada (4/3/3), depois flexível, respeitando ≥3 dias de descanso por time. 2-opt local troca datas entre jogos da rodada se reduz PRV.</t>
        </is>
      </c>
      <c r="D11" s="4" t="inlineStr">
        <is>
          <t>Rodadas em simultaneous_rounds (default {38}) recebem TODOS os jogos na mesma data: escolhe a data viável da janela que minimiza PRV. R38 = 05/05/2024 na execução da CLI.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3" customWidth="1" min="14" max="14"/>
    <col width="7" customWidth="1" min="15" max="15"/>
    <col width="9" customWidth="1" min="16" max="16"/>
    <col width="6" customWidth="1" min="17" max="17"/>
    <col width="13" customWidth="1" min="18" max="18"/>
    <col width="13" customWidth="1" min="19" max="19"/>
  </cols>
  <sheetData>
    <row r="1" ht="28" customHeight="1">
      <c r="A1" s="1" t="inlineStr">
        <is>
          <t>Traço do loop multi-start — 20 iterações reais (seed 42)</t>
        </is>
      </c>
    </row>
    <row r="2">
      <c r="A2" s="2" t="inlineStr">
        <is>
          <t>Colunas O–R são FÓRMULAS: hard = a+b+i+j; soft_estr = c+d+e+f+g; chave = (hard, soft, prv). 'Novo melhor?' vem da execução.</t>
        </is>
      </c>
    </row>
    <row r="4" ht="30" customHeight="1">
      <c r="A4" s="5" t="inlineStr">
        <is>
          <t>it</t>
        </is>
      </c>
      <c r="B4" s="5" t="inlineStr">
        <is>
          <t>seed</t>
        </is>
      </c>
      <c r="C4" s="5" t="inlineStr">
        <is>
          <t>alpha</t>
        </is>
      </c>
      <c r="D4" s="5" t="inlineStr">
        <is>
          <t>a</t>
        </is>
      </c>
      <c r="E4" s="5" t="inlineStr">
        <is>
          <t>b</t>
        </is>
      </c>
      <c r="F4" s="5" t="inlineStr">
        <is>
          <t>c</t>
        </is>
      </c>
      <c r="G4" s="5" t="inlineStr">
        <is>
          <t>d</t>
        </is>
      </c>
      <c r="H4" s="5" t="inlineStr">
        <is>
          <t>e</t>
        </is>
      </c>
      <c r="I4" s="5" t="inlineStr">
        <is>
          <t>f</t>
        </is>
      </c>
      <c r="J4" s="5" t="inlineStr">
        <is>
          <t>g</t>
        </is>
      </c>
      <c r="K4" s="5" t="inlineStr">
        <is>
          <t>h</t>
        </is>
      </c>
      <c r="L4" s="5" t="inlineStr">
        <is>
          <t>i</t>
        </is>
      </c>
      <c r="M4" s="5" t="inlineStr">
        <is>
          <t>j</t>
        </is>
      </c>
      <c r="N4" s="5" t="inlineStr"/>
      <c r="O4" s="5" t="inlineStr">
        <is>
          <t>hard</t>
        </is>
      </c>
      <c r="P4" s="5" t="inlineStr">
        <is>
          <t>soft_estr</t>
        </is>
      </c>
      <c r="Q4" s="5" t="inlineStr">
        <is>
          <t>prv</t>
        </is>
      </c>
      <c r="R4" s="5" t="inlineStr">
        <is>
          <t>chave lex</t>
        </is>
      </c>
      <c r="S4" s="5" t="inlineStr">
        <is>
          <t>novo melhor?</t>
        </is>
      </c>
    </row>
    <row r="5">
      <c r="A5" s="9" t="n">
        <v>1</v>
      </c>
      <c r="B5" s="9" t="n">
        <v>42</v>
      </c>
      <c r="C5" s="9" t="n">
        <v>0.1</v>
      </c>
      <c r="D5" s="9" t="n">
        <v>0</v>
      </c>
      <c r="E5" s="9" t="n">
        <v>0</v>
      </c>
      <c r="F5" s="9" t="n">
        <v>0</v>
      </c>
      <c r="G5" s="9" t="n">
        <v>4</v>
      </c>
      <c r="H5" s="9" t="n">
        <v>0</v>
      </c>
      <c r="I5" s="9" t="n">
        <v>3</v>
      </c>
      <c r="J5" s="9" t="n">
        <v>15</v>
      </c>
      <c r="K5" s="9" t="n">
        <v>7</v>
      </c>
      <c r="L5" s="9" t="n">
        <v>0</v>
      </c>
      <c r="M5" s="9" t="n">
        <v>0</v>
      </c>
      <c r="N5" s="9" t="n"/>
      <c r="O5" s="10">
        <f>D5+E5+L5+M5</f>
        <v/>
      </c>
      <c r="P5" s="10">
        <f>F5+G5+H5+I5+J5</f>
        <v/>
      </c>
      <c r="Q5" s="10">
        <f>K5</f>
        <v/>
      </c>
      <c r="R5" s="11">
        <f>"("&amp;O5&amp;", "&amp;P5&amp;", "&amp;Q5&amp;")"</f>
        <v/>
      </c>
      <c r="S5" s="10" t="inlineStr">
        <is>
          <t>SIM</t>
        </is>
      </c>
    </row>
    <row r="6">
      <c r="A6" s="9" t="n">
        <v>2</v>
      </c>
      <c r="B6" s="9" t="n">
        <v>43</v>
      </c>
      <c r="C6" s="9" t="n">
        <v>0.1</v>
      </c>
      <c r="D6" s="9" t="n">
        <v>0</v>
      </c>
      <c r="E6" s="9" t="n">
        <v>0</v>
      </c>
      <c r="F6" s="9" t="n">
        <v>0</v>
      </c>
      <c r="G6" s="9" t="n">
        <v>4</v>
      </c>
      <c r="H6" s="9" t="n">
        <v>0</v>
      </c>
      <c r="I6" s="9" t="n">
        <v>5</v>
      </c>
      <c r="J6" s="9" t="n">
        <v>7</v>
      </c>
      <c r="K6" s="9" t="n">
        <v>8</v>
      </c>
      <c r="L6" s="9" t="n">
        <v>0</v>
      </c>
      <c r="M6" s="9" t="n">
        <v>0</v>
      </c>
      <c r="N6" s="9" t="n"/>
      <c r="O6" s="10">
        <f>D6+E6+L6+M6</f>
        <v/>
      </c>
      <c r="P6" s="10">
        <f>F6+G6+H6+I6+J6</f>
        <v/>
      </c>
      <c r="Q6" s="10">
        <f>K6</f>
        <v/>
      </c>
      <c r="R6" s="11">
        <f>"("&amp;O6&amp;", "&amp;P6&amp;", "&amp;Q6&amp;")"</f>
        <v/>
      </c>
      <c r="S6" s="10" t="inlineStr">
        <is>
          <t>SIM</t>
        </is>
      </c>
    </row>
    <row r="7">
      <c r="A7" s="9" t="n">
        <v>3</v>
      </c>
      <c r="B7" s="9" t="n">
        <v>44</v>
      </c>
      <c r="C7" s="9" t="n">
        <v>0.3</v>
      </c>
      <c r="D7" s="9" t="n">
        <v>0</v>
      </c>
      <c r="E7" s="9" t="n">
        <v>0</v>
      </c>
      <c r="F7" s="9" t="n">
        <v>0</v>
      </c>
      <c r="G7" s="9" t="n">
        <v>4</v>
      </c>
      <c r="H7" s="9" t="n">
        <v>0</v>
      </c>
      <c r="I7" s="9" t="n">
        <v>4</v>
      </c>
      <c r="J7" s="9" t="n">
        <v>23</v>
      </c>
      <c r="K7" s="9" t="n">
        <v>13</v>
      </c>
      <c r="L7" s="9" t="n">
        <v>0</v>
      </c>
      <c r="M7" s="9" t="n">
        <v>0</v>
      </c>
      <c r="N7" s="9" t="n"/>
      <c r="O7" s="9">
        <f>D7+E7+L7+M7</f>
        <v/>
      </c>
      <c r="P7" s="9">
        <f>F7+G7+H7+I7+J7</f>
        <v/>
      </c>
      <c r="Q7" s="9">
        <f>K7</f>
        <v/>
      </c>
      <c r="R7" s="12">
        <f>"("&amp;O7&amp;", "&amp;P7&amp;", "&amp;Q7&amp;")"</f>
        <v/>
      </c>
      <c r="S7" s="9" t="inlineStr">
        <is>
          <t>não</t>
        </is>
      </c>
    </row>
    <row r="8">
      <c r="A8" s="9" t="n">
        <v>4</v>
      </c>
      <c r="B8" s="9" t="n">
        <v>45</v>
      </c>
      <c r="C8" s="9" t="n">
        <v>0.2</v>
      </c>
      <c r="D8" s="9" t="n">
        <v>0</v>
      </c>
      <c r="E8" s="9" t="n">
        <v>0</v>
      </c>
      <c r="F8" s="9" t="n">
        <v>0</v>
      </c>
      <c r="G8" s="9" t="n">
        <v>6</v>
      </c>
      <c r="H8" s="9" t="n">
        <v>0</v>
      </c>
      <c r="I8" s="9" t="n">
        <v>5</v>
      </c>
      <c r="J8" s="9" t="n">
        <v>11</v>
      </c>
      <c r="K8" s="9" t="n">
        <v>10</v>
      </c>
      <c r="L8" s="9" t="n">
        <v>0</v>
      </c>
      <c r="M8" s="9" t="n">
        <v>0</v>
      </c>
      <c r="N8" s="9" t="n"/>
      <c r="O8" s="9">
        <f>D8+E8+L8+M8</f>
        <v/>
      </c>
      <c r="P8" s="9">
        <f>F8+G8+H8+I8+J8</f>
        <v/>
      </c>
      <c r="Q8" s="9">
        <f>K8</f>
        <v/>
      </c>
      <c r="R8" s="12">
        <f>"("&amp;O8&amp;", "&amp;P8&amp;", "&amp;Q8&amp;")"</f>
        <v/>
      </c>
      <c r="S8" s="9" t="inlineStr">
        <is>
          <t>não</t>
        </is>
      </c>
    </row>
    <row r="9">
      <c r="A9" s="9" t="n">
        <v>5</v>
      </c>
      <c r="B9" s="9" t="n">
        <v>46</v>
      </c>
      <c r="C9" s="9" t="n">
        <v>0.2</v>
      </c>
      <c r="D9" s="9" t="n">
        <v>0</v>
      </c>
      <c r="E9" s="9" t="n">
        <v>0</v>
      </c>
      <c r="F9" s="9" t="n">
        <v>0</v>
      </c>
      <c r="G9" s="9" t="n">
        <v>4</v>
      </c>
      <c r="H9" s="9" t="n">
        <v>0</v>
      </c>
      <c r="I9" s="9" t="n">
        <v>7</v>
      </c>
      <c r="J9" s="9" t="n">
        <v>19</v>
      </c>
      <c r="K9" s="9" t="n">
        <v>8</v>
      </c>
      <c r="L9" s="9" t="n">
        <v>0</v>
      </c>
      <c r="M9" s="9" t="n">
        <v>0</v>
      </c>
      <c r="N9" s="9" t="n"/>
      <c r="O9" s="9">
        <f>D9+E9+L9+M9</f>
        <v/>
      </c>
      <c r="P9" s="9">
        <f>F9+G9+H9+I9+J9</f>
        <v/>
      </c>
      <c r="Q9" s="9">
        <f>K9</f>
        <v/>
      </c>
      <c r="R9" s="12">
        <f>"("&amp;O9&amp;", "&amp;P9&amp;", "&amp;Q9&amp;")"</f>
        <v/>
      </c>
      <c r="S9" s="9" t="inlineStr">
        <is>
          <t>não</t>
        </is>
      </c>
    </row>
    <row r="10">
      <c r="A10" s="9" t="n">
        <v>6</v>
      </c>
      <c r="B10" s="9" t="n">
        <v>47</v>
      </c>
      <c r="C10" s="9" t="n">
        <v>0.2</v>
      </c>
      <c r="D10" s="9" t="n">
        <v>0</v>
      </c>
      <c r="E10" s="9" t="n">
        <v>0</v>
      </c>
      <c r="F10" s="9" t="n">
        <v>0</v>
      </c>
      <c r="G10" s="9" t="n">
        <v>4</v>
      </c>
      <c r="H10" s="9" t="n">
        <v>0</v>
      </c>
      <c r="I10" s="9" t="n">
        <v>2</v>
      </c>
      <c r="J10" s="9" t="n">
        <v>6</v>
      </c>
      <c r="K10" s="9" t="n">
        <v>7</v>
      </c>
      <c r="L10" s="9" t="n">
        <v>0</v>
      </c>
      <c r="M10" s="9" t="n">
        <v>0</v>
      </c>
      <c r="N10" s="9" t="n"/>
      <c r="O10" s="10">
        <f>D10+E10+L10+M10</f>
        <v/>
      </c>
      <c r="P10" s="10">
        <f>F10+G10+H10+I10+J10</f>
        <v/>
      </c>
      <c r="Q10" s="10">
        <f>K10</f>
        <v/>
      </c>
      <c r="R10" s="11">
        <f>"("&amp;O10&amp;", "&amp;P10&amp;", "&amp;Q10&amp;")"</f>
        <v/>
      </c>
      <c r="S10" s="10" t="inlineStr">
        <is>
          <t>SIM</t>
        </is>
      </c>
    </row>
    <row r="11">
      <c r="A11" s="9" t="n">
        <v>7</v>
      </c>
      <c r="B11" s="9" t="n">
        <v>48</v>
      </c>
      <c r="C11" s="9" t="n">
        <v>0.1</v>
      </c>
      <c r="D11" s="9" t="n">
        <v>0</v>
      </c>
      <c r="E11" s="9" t="n">
        <v>0</v>
      </c>
      <c r="F11" s="9" t="n">
        <v>0</v>
      </c>
      <c r="G11" s="9" t="n">
        <v>4</v>
      </c>
      <c r="H11" s="9" t="n">
        <v>0</v>
      </c>
      <c r="I11" s="9" t="n">
        <v>4</v>
      </c>
      <c r="J11" s="9" t="n">
        <v>8</v>
      </c>
      <c r="K11" s="9" t="n">
        <v>12</v>
      </c>
      <c r="L11" s="9" t="n">
        <v>0</v>
      </c>
      <c r="M11" s="9" t="n">
        <v>0</v>
      </c>
      <c r="N11" s="9" t="n"/>
      <c r="O11" s="9">
        <f>D11+E11+L11+M11</f>
        <v/>
      </c>
      <c r="P11" s="9">
        <f>F11+G11+H11+I11+J11</f>
        <v/>
      </c>
      <c r="Q11" s="9">
        <f>K11</f>
        <v/>
      </c>
      <c r="R11" s="12">
        <f>"("&amp;O11&amp;", "&amp;P11&amp;", "&amp;Q11&amp;")"</f>
        <v/>
      </c>
      <c r="S11" s="9" t="inlineStr">
        <is>
          <t>não</t>
        </is>
      </c>
    </row>
    <row r="12">
      <c r="A12" s="9" t="n">
        <v>8</v>
      </c>
      <c r="B12" s="9" t="n">
        <v>49</v>
      </c>
      <c r="C12" s="9" t="n">
        <v>0.1</v>
      </c>
      <c r="D12" s="9" t="n">
        <v>0</v>
      </c>
      <c r="E12" s="9" t="n">
        <v>0</v>
      </c>
      <c r="F12" s="9" t="n">
        <v>0</v>
      </c>
      <c r="G12" s="9" t="n">
        <v>4</v>
      </c>
      <c r="H12" s="9" t="n">
        <v>0</v>
      </c>
      <c r="I12" s="9" t="n">
        <v>6</v>
      </c>
      <c r="J12" s="9" t="n">
        <v>12</v>
      </c>
      <c r="K12" s="9" t="n">
        <v>10</v>
      </c>
      <c r="L12" s="9" t="n">
        <v>0</v>
      </c>
      <c r="M12" s="9" t="n">
        <v>0</v>
      </c>
      <c r="N12" s="9" t="n"/>
      <c r="O12" s="9">
        <f>D12+E12+L12+M12</f>
        <v/>
      </c>
      <c r="P12" s="9">
        <f>F12+G12+H12+I12+J12</f>
        <v/>
      </c>
      <c r="Q12" s="9">
        <f>K12</f>
        <v/>
      </c>
      <c r="R12" s="12">
        <f>"("&amp;O12&amp;", "&amp;P12&amp;", "&amp;Q12&amp;")"</f>
        <v/>
      </c>
      <c r="S12" s="9" t="inlineStr">
        <is>
          <t>não</t>
        </is>
      </c>
    </row>
    <row r="13">
      <c r="A13" s="9" t="n">
        <v>9</v>
      </c>
      <c r="B13" s="9" t="n">
        <v>50</v>
      </c>
      <c r="C13" s="9" t="n">
        <v>0.4</v>
      </c>
      <c r="D13" s="9" t="n">
        <v>0</v>
      </c>
      <c r="E13" s="9" t="n">
        <v>0</v>
      </c>
      <c r="F13" s="9" t="n">
        <v>0</v>
      </c>
      <c r="G13" s="9" t="n">
        <v>6</v>
      </c>
      <c r="H13" s="9" t="n">
        <v>0</v>
      </c>
      <c r="I13" s="9" t="n">
        <v>6</v>
      </c>
      <c r="J13" s="9" t="n">
        <v>7</v>
      </c>
      <c r="K13" s="9" t="n">
        <v>7</v>
      </c>
      <c r="L13" s="9" t="n">
        <v>0</v>
      </c>
      <c r="M13" s="9" t="n">
        <v>0</v>
      </c>
      <c r="N13" s="9" t="n"/>
      <c r="O13" s="9">
        <f>D13+E13+L13+M13</f>
        <v/>
      </c>
      <c r="P13" s="9">
        <f>F13+G13+H13+I13+J13</f>
        <v/>
      </c>
      <c r="Q13" s="9">
        <f>K13</f>
        <v/>
      </c>
      <c r="R13" s="12">
        <f>"("&amp;O13&amp;", "&amp;P13&amp;", "&amp;Q13&amp;")"</f>
        <v/>
      </c>
      <c r="S13" s="9" t="inlineStr">
        <is>
          <t>não</t>
        </is>
      </c>
    </row>
    <row r="14">
      <c r="A14" s="9" t="n">
        <v>10</v>
      </c>
      <c r="B14" s="9" t="n">
        <v>51</v>
      </c>
      <c r="C14" s="9" t="n">
        <v>0.1</v>
      </c>
      <c r="D14" s="9" t="n">
        <v>0</v>
      </c>
      <c r="E14" s="9" t="n">
        <v>0</v>
      </c>
      <c r="F14" s="9" t="n">
        <v>0</v>
      </c>
      <c r="G14" s="9" t="n">
        <v>6</v>
      </c>
      <c r="H14" s="9" t="n">
        <v>0</v>
      </c>
      <c r="I14" s="9" t="n">
        <v>7</v>
      </c>
      <c r="J14" s="9" t="n">
        <v>16</v>
      </c>
      <c r="K14" s="9" t="n">
        <v>8</v>
      </c>
      <c r="L14" s="9" t="n">
        <v>0</v>
      </c>
      <c r="M14" s="9" t="n">
        <v>0</v>
      </c>
      <c r="N14" s="9" t="n"/>
      <c r="O14" s="9">
        <f>D14+E14+L14+M14</f>
        <v/>
      </c>
      <c r="P14" s="9">
        <f>F14+G14+H14+I14+J14</f>
        <v/>
      </c>
      <c r="Q14" s="9">
        <f>K14</f>
        <v/>
      </c>
      <c r="R14" s="12">
        <f>"("&amp;O14&amp;", "&amp;P14&amp;", "&amp;Q14&amp;")"</f>
        <v/>
      </c>
      <c r="S14" s="9" t="inlineStr">
        <is>
          <t>não</t>
        </is>
      </c>
    </row>
    <row r="15">
      <c r="A15" s="9" t="n">
        <v>11</v>
      </c>
      <c r="B15" s="9" t="n">
        <v>52</v>
      </c>
      <c r="C15" s="9" t="n">
        <v>0.1</v>
      </c>
      <c r="D15" s="9" t="n">
        <v>0</v>
      </c>
      <c r="E15" s="9" t="n">
        <v>0</v>
      </c>
      <c r="F15" s="9" t="n">
        <v>0</v>
      </c>
      <c r="G15" s="9" t="n">
        <v>4</v>
      </c>
      <c r="H15" s="9" t="n">
        <v>0</v>
      </c>
      <c r="I15" s="9" t="n">
        <v>6</v>
      </c>
      <c r="J15" s="9" t="n">
        <v>4</v>
      </c>
      <c r="K15" s="9" t="n">
        <v>12</v>
      </c>
      <c r="L15" s="9" t="n">
        <v>0</v>
      </c>
      <c r="M15" s="9" t="n">
        <v>0</v>
      </c>
      <c r="N15" s="9" t="n"/>
      <c r="O15" s="9">
        <f>D15+E15+L15+M15</f>
        <v/>
      </c>
      <c r="P15" s="9">
        <f>F15+G15+H15+I15+J15</f>
        <v/>
      </c>
      <c r="Q15" s="9">
        <f>K15</f>
        <v/>
      </c>
      <c r="R15" s="12">
        <f>"("&amp;O15&amp;", "&amp;P15&amp;", "&amp;Q15&amp;")"</f>
        <v/>
      </c>
      <c r="S15" s="9" t="inlineStr">
        <is>
          <t>não</t>
        </is>
      </c>
    </row>
    <row r="16">
      <c r="A16" s="9" t="n">
        <v>12</v>
      </c>
      <c r="B16" s="9" t="n">
        <v>53</v>
      </c>
      <c r="C16" s="9" t="n">
        <v>0.1</v>
      </c>
      <c r="D16" s="9" t="n">
        <v>0</v>
      </c>
      <c r="E16" s="9" t="n">
        <v>0</v>
      </c>
      <c r="F16" s="9" t="n">
        <v>0</v>
      </c>
      <c r="G16" s="9" t="n">
        <v>4</v>
      </c>
      <c r="H16" s="9" t="n">
        <v>0</v>
      </c>
      <c r="I16" s="9" t="n">
        <v>5</v>
      </c>
      <c r="J16" s="9" t="n">
        <v>12</v>
      </c>
      <c r="K16" s="9" t="n">
        <v>11</v>
      </c>
      <c r="L16" s="9" t="n">
        <v>0</v>
      </c>
      <c r="M16" s="9" t="n">
        <v>0</v>
      </c>
      <c r="N16" s="9" t="n"/>
      <c r="O16" s="9">
        <f>D16+E16+L16+M16</f>
        <v/>
      </c>
      <c r="P16" s="9">
        <f>F16+G16+H16+I16+J16</f>
        <v/>
      </c>
      <c r="Q16" s="9">
        <f>K16</f>
        <v/>
      </c>
      <c r="R16" s="12">
        <f>"("&amp;O16&amp;", "&amp;P16&amp;", "&amp;Q16&amp;")"</f>
        <v/>
      </c>
      <c r="S16" s="9" t="inlineStr">
        <is>
          <t>não</t>
        </is>
      </c>
    </row>
    <row r="17">
      <c r="A17" s="9" t="n">
        <v>13</v>
      </c>
      <c r="B17" s="9" t="n">
        <v>54</v>
      </c>
      <c r="C17" s="9" t="n">
        <v>0.2</v>
      </c>
      <c r="D17" s="9" t="n">
        <v>0</v>
      </c>
      <c r="E17" s="9" t="n">
        <v>0</v>
      </c>
      <c r="F17" s="9" t="n">
        <v>0</v>
      </c>
      <c r="G17" s="9" t="n">
        <v>4</v>
      </c>
      <c r="H17" s="9" t="n">
        <v>0</v>
      </c>
      <c r="I17" s="9" t="n">
        <v>5</v>
      </c>
      <c r="J17" s="9" t="n">
        <v>7</v>
      </c>
      <c r="K17" s="9" t="n">
        <v>8</v>
      </c>
      <c r="L17" s="9" t="n">
        <v>0</v>
      </c>
      <c r="M17" s="9" t="n">
        <v>0</v>
      </c>
      <c r="N17" s="9" t="n"/>
      <c r="O17" s="9">
        <f>D17+E17+L17+M17</f>
        <v/>
      </c>
      <c r="P17" s="9">
        <f>F17+G17+H17+I17+J17</f>
        <v/>
      </c>
      <c r="Q17" s="9">
        <f>K17</f>
        <v/>
      </c>
      <c r="R17" s="12">
        <f>"("&amp;O17&amp;", "&amp;P17&amp;", "&amp;Q17&amp;")"</f>
        <v/>
      </c>
      <c r="S17" s="9" t="inlineStr">
        <is>
          <t>não</t>
        </is>
      </c>
    </row>
    <row r="18">
      <c r="A18" s="9" t="n">
        <v>14</v>
      </c>
      <c r="B18" s="9" t="n">
        <v>55</v>
      </c>
      <c r="C18" s="9" t="n">
        <v>0.2</v>
      </c>
      <c r="D18" s="9" t="n">
        <v>0</v>
      </c>
      <c r="E18" s="9" t="n">
        <v>0</v>
      </c>
      <c r="F18" s="9" t="n">
        <v>0</v>
      </c>
      <c r="G18" s="9" t="n">
        <v>4</v>
      </c>
      <c r="H18" s="9" t="n">
        <v>0</v>
      </c>
      <c r="I18" s="9" t="n">
        <v>6</v>
      </c>
      <c r="J18" s="9" t="n">
        <v>12</v>
      </c>
      <c r="K18" s="9" t="n">
        <v>9</v>
      </c>
      <c r="L18" s="9" t="n">
        <v>0</v>
      </c>
      <c r="M18" s="9" t="n">
        <v>0</v>
      </c>
      <c r="N18" s="9" t="n"/>
      <c r="O18" s="9">
        <f>D18+E18+L18+M18</f>
        <v/>
      </c>
      <c r="P18" s="9">
        <f>F18+G18+H18+I18+J18</f>
        <v/>
      </c>
      <c r="Q18" s="9">
        <f>K18</f>
        <v/>
      </c>
      <c r="R18" s="12">
        <f>"("&amp;O18&amp;", "&amp;P18&amp;", "&amp;Q18&amp;")"</f>
        <v/>
      </c>
      <c r="S18" s="9" t="inlineStr">
        <is>
          <t>não</t>
        </is>
      </c>
    </row>
    <row r="19">
      <c r="A19" s="9" t="n">
        <v>15</v>
      </c>
      <c r="B19" s="9" t="n">
        <v>56</v>
      </c>
      <c r="C19" s="9" t="n">
        <v>0.1</v>
      </c>
      <c r="D19" s="9" t="n">
        <v>0</v>
      </c>
      <c r="E19" s="9" t="n">
        <v>0</v>
      </c>
      <c r="F19" s="9" t="n">
        <v>0</v>
      </c>
      <c r="G19" s="9" t="n">
        <v>4</v>
      </c>
      <c r="H19" s="9" t="n">
        <v>0</v>
      </c>
      <c r="I19" s="9" t="n">
        <v>5</v>
      </c>
      <c r="J19" s="9" t="n">
        <v>11</v>
      </c>
      <c r="K19" s="9" t="n">
        <v>12</v>
      </c>
      <c r="L19" s="9" t="n">
        <v>0</v>
      </c>
      <c r="M19" s="9" t="n">
        <v>0</v>
      </c>
      <c r="N19" s="9" t="n"/>
      <c r="O19" s="9">
        <f>D19+E19+L19+M19</f>
        <v/>
      </c>
      <c r="P19" s="9">
        <f>F19+G19+H19+I19+J19</f>
        <v/>
      </c>
      <c r="Q19" s="9">
        <f>K19</f>
        <v/>
      </c>
      <c r="R19" s="12">
        <f>"("&amp;O19&amp;", "&amp;P19&amp;", "&amp;Q19&amp;")"</f>
        <v/>
      </c>
      <c r="S19" s="9" t="inlineStr">
        <is>
          <t>não</t>
        </is>
      </c>
    </row>
    <row r="20">
      <c r="A20" s="9" t="n">
        <v>16</v>
      </c>
      <c r="B20" s="9" t="n">
        <v>57</v>
      </c>
      <c r="C20" s="9" t="n">
        <v>0.2</v>
      </c>
      <c r="D20" s="9" t="n">
        <v>0</v>
      </c>
      <c r="E20" s="9" t="n">
        <v>0</v>
      </c>
      <c r="F20" s="9" t="n">
        <v>0</v>
      </c>
      <c r="G20" s="9" t="n">
        <v>4</v>
      </c>
      <c r="H20" s="9" t="n">
        <v>0</v>
      </c>
      <c r="I20" s="9" t="n">
        <v>9</v>
      </c>
      <c r="J20" s="9" t="n">
        <v>13</v>
      </c>
      <c r="K20" s="9" t="n">
        <v>7</v>
      </c>
      <c r="L20" s="9" t="n">
        <v>0</v>
      </c>
      <c r="M20" s="9" t="n">
        <v>0</v>
      </c>
      <c r="N20" s="9" t="n"/>
      <c r="O20" s="9">
        <f>D20+E20+L20+M20</f>
        <v/>
      </c>
      <c r="P20" s="9">
        <f>F20+G20+H20+I20+J20</f>
        <v/>
      </c>
      <c r="Q20" s="9">
        <f>K20</f>
        <v/>
      </c>
      <c r="R20" s="12">
        <f>"("&amp;O20&amp;", "&amp;P20&amp;", "&amp;Q20&amp;")"</f>
        <v/>
      </c>
      <c r="S20" s="9" t="inlineStr">
        <is>
          <t>não</t>
        </is>
      </c>
    </row>
    <row r="21">
      <c r="A21" s="9" t="n">
        <v>17</v>
      </c>
      <c r="B21" s="9" t="n">
        <v>58</v>
      </c>
      <c r="C21" s="9" t="n">
        <v>0.4</v>
      </c>
      <c r="D21" s="9" t="n">
        <v>0</v>
      </c>
      <c r="E21" s="9" t="n">
        <v>0</v>
      </c>
      <c r="F21" s="9" t="n">
        <v>0</v>
      </c>
      <c r="G21" s="9" t="n">
        <v>4</v>
      </c>
      <c r="H21" s="9" t="n">
        <v>0</v>
      </c>
      <c r="I21" s="9" t="n">
        <v>7</v>
      </c>
      <c r="J21" s="9" t="n">
        <v>14</v>
      </c>
      <c r="K21" s="9" t="n">
        <v>10</v>
      </c>
      <c r="L21" s="9" t="n">
        <v>0</v>
      </c>
      <c r="M21" s="9" t="n">
        <v>0</v>
      </c>
      <c r="N21" s="9" t="n"/>
      <c r="O21" s="9">
        <f>D21+E21+L21+M21</f>
        <v/>
      </c>
      <c r="P21" s="9">
        <f>F21+G21+H21+I21+J21</f>
        <v/>
      </c>
      <c r="Q21" s="9">
        <f>K21</f>
        <v/>
      </c>
      <c r="R21" s="12">
        <f>"("&amp;O21&amp;", "&amp;P21&amp;", "&amp;Q21&amp;")"</f>
        <v/>
      </c>
      <c r="S21" s="9" t="inlineStr">
        <is>
          <t>não</t>
        </is>
      </c>
    </row>
    <row r="22">
      <c r="A22" s="9" t="n">
        <v>18</v>
      </c>
      <c r="B22" s="9" t="n">
        <v>59</v>
      </c>
      <c r="C22" s="9" t="n">
        <v>0.2</v>
      </c>
      <c r="D22" s="9" t="n">
        <v>0</v>
      </c>
      <c r="E22" s="9" t="n">
        <v>0</v>
      </c>
      <c r="F22" s="9" t="n">
        <v>0</v>
      </c>
      <c r="G22" s="9" t="n">
        <v>4</v>
      </c>
      <c r="H22" s="9" t="n">
        <v>0</v>
      </c>
      <c r="I22" s="9" t="n">
        <v>5</v>
      </c>
      <c r="J22" s="9" t="n">
        <v>14</v>
      </c>
      <c r="K22" s="9" t="n">
        <v>14</v>
      </c>
      <c r="L22" s="9" t="n">
        <v>0</v>
      </c>
      <c r="M22" s="9" t="n">
        <v>0</v>
      </c>
      <c r="N22" s="9" t="n"/>
      <c r="O22" s="9">
        <f>D22+E22+L22+M22</f>
        <v/>
      </c>
      <c r="P22" s="9">
        <f>F22+G22+H22+I22+J22</f>
        <v/>
      </c>
      <c r="Q22" s="9">
        <f>K22</f>
        <v/>
      </c>
      <c r="R22" s="12">
        <f>"("&amp;O22&amp;", "&amp;P22&amp;", "&amp;Q22&amp;")"</f>
        <v/>
      </c>
      <c r="S22" s="9" t="inlineStr">
        <is>
          <t>não</t>
        </is>
      </c>
    </row>
    <row r="23">
      <c r="A23" s="9" t="n">
        <v>19</v>
      </c>
      <c r="B23" s="9" t="n">
        <v>60</v>
      </c>
      <c r="C23" s="9" t="n">
        <v>0.4</v>
      </c>
      <c r="D23" s="9" t="n">
        <v>0</v>
      </c>
      <c r="E23" s="9" t="n">
        <v>0</v>
      </c>
      <c r="F23" s="9" t="n">
        <v>0</v>
      </c>
      <c r="G23" s="9" t="n">
        <v>4</v>
      </c>
      <c r="H23" s="9" t="n">
        <v>0</v>
      </c>
      <c r="I23" s="9" t="n">
        <v>4</v>
      </c>
      <c r="J23" s="9" t="n">
        <v>6</v>
      </c>
      <c r="K23" s="9" t="n">
        <v>13</v>
      </c>
      <c r="L23" s="9" t="n">
        <v>0</v>
      </c>
      <c r="M23" s="9" t="n">
        <v>0</v>
      </c>
      <c r="N23" s="9" t="n"/>
      <c r="O23" s="9">
        <f>D23+E23+L23+M23</f>
        <v/>
      </c>
      <c r="P23" s="9">
        <f>F23+G23+H23+I23+J23</f>
        <v/>
      </c>
      <c r="Q23" s="9">
        <f>K23</f>
        <v/>
      </c>
      <c r="R23" s="12">
        <f>"("&amp;O23&amp;", "&amp;P23&amp;", "&amp;Q23&amp;")"</f>
        <v/>
      </c>
      <c r="S23" s="9" t="inlineStr">
        <is>
          <t>não</t>
        </is>
      </c>
    </row>
    <row r="24">
      <c r="A24" s="9" t="n">
        <v>20</v>
      </c>
      <c r="B24" s="9" t="n">
        <v>61</v>
      </c>
      <c r="C24" s="9" t="n">
        <v>0.3</v>
      </c>
      <c r="D24" s="9" t="n">
        <v>0</v>
      </c>
      <c r="E24" s="9" t="n">
        <v>0</v>
      </c>
      <c r="F24" s="9" t="n">
        <v>0</v>
      </c>
      <c r="G24" s="9" t="n">
        <v>4</v>
      </c>
      <c r="H24" s="9" t="n">
        <v>0</v>
      </c>
      <c r="I24" s="9" t="n">
        <v>9</v>
      </c>
      <c r="J24" s="9" t="n">
        <v>15</v>
      </c>
      <c r="K24" s="9" t="n">
        <v>6</v>
      </c>
      <c r="L24" s="9" t="n">
        <v>0</v>
      </c>
      <c r="M24" s="9" t="n">
        <v>0</v>
      </c>
      <c r="N24" s="9" t="n"/>
      <c r="O24" s="9">
        <f>D24+E24+L24+M24</f>
        <v/>
      </c>
      <c r="P24" s="9">
        <f>F24+G24+H24+I24+J24</f>
        <v/>
      </c>
      <c r="Q24" s="9">
        <f>K24</f>
        <v/>
      </c>
      <c r="R24" s="12">
        <f>"("&amp;O24&amp;", "&amp;P24&amp;", "&amp;Q24&amp;")"</f>
        <v/>
      </c>
      <c r="S24" s="9" t="inlineStr">
        <is>
          <t>não</t>
        </is>
      </c>
    </row>
    <row r="25">
      <c r="N25" s="13" t="inlineStr">
        <is>
          <t>mín</t>
        </is>
      </c>
      <c r="O25" s="12">
        <f>MIN(O5:O24)</f>
        <v/>
      </c>
      <c r="P25" s="12">
        <f>MIN(P5:P24)</f>
        <v/>
      </c>
      <c r="Q25" s="12">
        <f>MIN(Q5:Q24)</f>
        <v/>
      </c>
    </row>
    <row r="26">
      <c r="N26" s="13" t="inlineStr">
        <is>
          <t>méd</t>
        </is>
      </c>
      <c r="O26" s="14">
        <f>AVERAGE(O5:O24)</f>
        <v/>
      </c>
      <c r="P26" s="14">
        <f>AVERAGE(P5:P24)</f>
        <v/>
      </c>
      <c r="Q26" s="14">
        <f>AVERAGE(Q5:Q24)</f>
        <v/>
      </c>
    </row>
    <row r="28" ht="22" customHeight="1">
      <c r="A28" s="3" t="inlineStr">
        <is>
          <t>Como ler</t>
        </is>
      </c>
    </row>
    <row r="29" ht="60" customHeight="1">
      <c r="A29" s="6" t="inlineStr">
        <is>
          <t>Cada iteração i usa seed = 42 + i e um alpha sorteado de [0.1, 0.2, 0.3, 0.4] por um gerador SEPARADO (rng_alpha). As iterações são INDEPENDENTES: nenhuma recebe o resultado da anterior (multi-start puro). 'Novo melhor' = chave lexicográfica estritamente menor que a melhor até então — repare que a it 2 vence a it 1 com PRV PIOR (8 &gt; 7), porque soft_estr 16 &lt; 22 decide antes. Melhor final: it 6 (seed 47), chave (0, 12, 7). Tempo: 6.5 s para 20 construções.</t>
        </is>
      </c>
    </row>
  </sheetData>
  <mergeCells count="1">
    <mergeCell ref="A29:S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8" customHeight="1">
      <c r="A1" s="1" t="inlineStr">
        <is>
          <t>Função objetivo e chave lexicográfica</t>
        </is>
      </c>
    </row>
    <row r="2">
      <c r="A2" s="2" t="inlineStr">
        <is>
          <t>objective.py + domain.py:EvaluationResult</t>
        </is>
      </c>
    </row>
    <row r="4" ht="22" customHeight="1">
      <c r="A4" s="3" t="inlineStr">
        <is>
          <t>A chave: lexicographic_key() = (hard, soft_estruturais, total_prv)</t>
        </is>
      </c>
    </row>
    <row r="5" ht="34" customHeight="1">
      <c r="A5" s="4" t="inlineStr">
        <is>
          <t>hard</t>
        </is>
      </c>
      <c r="B5" s="4" t="inlineStr">
        <is>
          <t>Nº de violações das restrições marcadas True em CONSTRAINT_HARDNESS (default a, b, i, j). Qualquer valor &gt; 0 ⇒ is_feasible = False</t>
        </is>
      </c>
    </row>
    <row r="6" ht="34" customHeight="1">
      <c r="A6" s="4" t="inlineStr">
        <is>
          <t>soft_estruturais</t>
        </is>
      </c>
      <c r="B6" s="4" t="inlineStr">
        <is>
          <t>Nº de violações soft EXCETO (h): c + d + e + f + g</t>
        </is>
      </c>
    </row>
    <row r="7" ht="34" customHeight="1">
      <c r="A7" s="4" t="inlineStr">
        <is>
          <t>total_prv</t>
        </is>
      </c>
      <c r="B7" s="4" t="inlineStr">
        <is>
          <t>Nº de pares consecutivos no mesmo estádio com intervalo &lt; prv_days (5)</t>
        </is>
      </c>
    </row>
    <row r="8" ht="34" customHeight="1">
      <c r="A8" s="4" t="inlineStr">
        <is>
          <t>Comparação</t>
        </is>
      </c>
      <c r="B8" s="4" t="inlineStr">
        <is>
          <t>Python compara tuplas posição a posição, da esquerda para a direita. A primeira posição diferente decide; as seguintes nem são olhadas.</t>
        </is>
      </c>
    </row>
    <row r="10" ht="22" customHeight="1">
      <c r="A10" s="3" t="inlineStr">
        <is>
          <t>Exemplo real (iterações 1 e 2 do GRASP)</t>
        </is>
      </c>
    </row>
    <row r="11" ht="40" customHeight="1">
      <c r="A11" s="4" t="inlineStr">
        <is>
          <t>(0, 16, 8) &lt; (0, 22, 7) ?</t>
        </is>
      </c>
      <c r="B11" s="4" t="inlineStr">
        <is>
          <t>posição 0: 0 = 0 → empate, segue · posição 1: 16 &lt; 22 → DECIDIDO · posição 2 (prv) ignorada · resultado: True</t>
        </is>
      </c>
    </row>
    <row r="12" ht="40" customHeight="1">
      <c r="A12" s="7" t="inlineStr">
        <is>
          <t>Consequência</t>
        </is>
      </c>
      <c r="B12" s="7" t="inlineStr">
        <is>
          <t>1 violação estrutural a menos vale mais que QUALQUER quantidade de PRV. Com hard = 0 sempre (a construção garante), o GRASP otimiza de fato f + g + d; PRV só desempata.</t>
        </is>
      </c>
    </row>
    <row r="13" ht="40" customHeight="1">
      <c r="A13" s="15" t="inlineStr">
        <is>
          <t>Decisão de projeto</t>
        </is>
      </c>
      <c r="B13" s="15" t="inlineStr">
        <is>
          <t>Intencional: o calendário precisa cumprir o regulamento antes de qualquer conforto logístico. PRV é o critério de desempate.</t>
        </is>
      </c>
    </row>
    <row r="15" ht="22" customHeight="1">
      <c r="A15" s="3" t="inlineStr">
        <is>
          <t>total_cost (escalar, informativo)</t>
        </is>
      </c>
    </row>
    <row r="16" ht="30" customHeight="1">
      <c r="A16" s="4" t="inlineStr">
        <is>
          <t>Fórmula</t>
        </is>
      </c>
      <c r="B16" s="4" t="inlineStr">
        <is>
          <t>w[prv] × total_prv + Σ w[c] × |violações_c|,  com w[prv] = 1 e w[c] = 100 para todas exceto w[h] = 0</t>
        </is>
      </c>
    </row>
    <row r="17" ht="30" customHeight="1">
      <c r="A17" s="4" t="inlineStr">
        <is>
          <t>Uso</t>
        </is>
      </c>
      <c r="B17" s="4" t="inlineStr">
        <is>
          <t>Registrado no histórico e no summary(); NÃO é o critério de comparação (a chave lexicográfica é).</t>
        </is>
      </c>
    </row>
    <row r="19" ht="22" customHeight="1">
      <c r="A19" s="3" t="inlineStr">
        <is>
          <t>compute_prv (objective.py:120)</t>
        </is>
      </c>
    </row>
    <row r="20" ht="34" customHeight="1">
      <c r="A20" s="4" t="inlineStr">
        <is>
          <t>Algoritmo</t>
        </is>
      </c>
      <c r="B20" s="4" t="inlineStr">
        <is>
          <t>Agrupa jogos por estádio; ordena por data; para cada par consecutivo, se Δdias &lt; prv_days conta 1 ocorrência. Retorna total, lista de ocorrências e contagem por estádio.</t>
        </is>
      </c>
    </row>
    <row r="21" ht="34" customHeight="1">
      <c r="A21" s="4" t="inlineStr">
        <is>
          <t>Onde aparece PRV &gt; 0</t>
        </is>
      </c>
      <c r="B21" s="4" t="inlineStr">
        <is>
          <t>Praticamente só no Maracanã (Flamengo + Fluminense). Na CLI: 'PRVs por estádio (apenas &gt; 0): Maracanã: 6'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10" customWidth="1" min="9" max="9"/>
  </cols>
  <sheetData>
    <row r="1" ht="28" customHeight="1">
      <c r="A1" s="1" t="inlineStr">
        <is>
          <t>VND e ILS — pós-otimização sobre a melhor solução do GRASP</t>
        </is>
      </c>
    </row>
    <row r="2">
      <c r="A2" s="2" t="inlineStr">
        <is>
          <t>local_search.py + ils.py. Execução: ILS com max_iter=40, max_iter_no_improve=15, seed 42.</t>
        </is>
      </c>
    </row>
    <row r="4" ht="22" customHeight="1">
      <c r="A4" s="3" t="inlineStr">
        <is>
          <t>VND (Variable Neighborhood Descent) — local_search.py:294</t>
        </is>
      </c>
    </row>
    <row r="5" ht="36" customHeight="1">
      <c r="A5" s="4" t="inlineStr">
        <is>
          <t>Vizinhanças (ordenadas)</t>
        </is>
      </c>
      <c r="B5" s="4" t="inlineStr">
        <is>
          <t>1) swap_homes: inverte o mando de um confronto (as duas pernas: turno e returno). 2) swap_days: troca as datas de dois jogos da mesma rodada.</t>
        </is>
      </c>
      <c r="C5" s="16" t="n"/>
      <c r="D5" s="16" t="n"/>
      <c r="E5" s="16" t="n"/>
      <c r="F5" s="16" t="n"/>
      <c r="G5" s="16" t="n"/>
      <c r="H5" s="16" t="n"/>
      <c r="I5" s="17" t="n"/>
    </row>
    <row r="6" ht="36" customHeight="1">
      <c r="A6" s="4" t="inlineStr">
        <is>
          <t>Estratégia</t>
        </is>
      </c>
      <c r="B6" s="4" t="inlineStr">
        <is>
          <t>Best-improvement dentro de cada vizinhança; ao esgotar uma, passa à próxima; se QUALQUER uma melhora, volta à primeira; termina quando nenhuma melhora.</t>
        </is>
      </c>
      <c r="C6" s="16" t="n"/>
      <c r="D6" s="16" t="n"/>
      <c r="E6" s="16" t="n"/>
      <c r="F6" s="16" t="n"/>
      <c r="G6" s="16" t="n"/>
      <c r="H6" s="16" t="n"/>
      <c r="I6" s="17" t="n"/>
    </row>
    <row r="7" ht="36" customHeight="1">
      <c r="A7" s="4" t="inlineStr">
        <is>
          <t>Âncoras congeladas</t>
        </is>
      </c>
      <c r="B7" s="4" t="inlineStr">
        <is>
          <t>FROZEN_ROUNDS = {1, 2, 18, 19, 20, 21, 37, 38}. Nunca tocadas: preservam (c), (d), (e) e a rodada simultânea. Todo gerador de vizinhança pula essas rodadas.</t>
        </is>
      </c>
      <c r="C7" s="16" t="n"/>
      <c r="D7" s="16" t="n"/>
      <c r="E7" s="16" t="n"/>
      <c r="F7" s="16" t="n"/>
      <c r="G7" s="16" t="n"/>
      <c r="H7" s="16" t="n"/>
      <c r="I7" s="17" t="n"/>
    </row>
    <row r="8" ht="36" customHeight="1">
      <c r="A8" s="4" t="inlineStr">
        <is>
          <t>Validade</t>
        </is>
      </c>
      <c r="B8" s="4" t="inlineStr">
        <is>
          <t>Todo vizinho respeita min_team_rest_days e a janela da rodada — verificado no gerador, não na avaliação.</t>
        </is>
      </c>
      <c r="C8" s="16" t="n"/>
      <c r="D8" s="16" t="n"/>
      <c r="E8" s="16" t="n"/>
      <c r="F8" s="16" t="n"/>
      <c r="G8" s="16" t="n"/>
      <c r="H8" s="16" t="n"/>
      <c r="I8" s="17" t="n"/>
    </row>
    <row r="9" ht="36" customHeight="1">
      <c r="A9" s="4" t="inlineStr">
        <is>
          <t>Critério</t>
        </is>
      </c>
      <c r="B9" s="4" t="inlineStr">
        <is>
          <t>EvaluationResult.is_better_than (chave lexicográfica) — o mesmo do GRASP.</t>
        </is>
      </c>
      <c r="C9" s="16" t="n"/>
      <c r="D9" s="16" t="n"/>
      <c r="E9" s="16" t="n"/>
      <c r="F9" s="16" t="n"/>
      <c r="G9" s="16" t="n"/>
      <c r="H9" s="16" t="n"/>
      <c r="I9" s="17" t="n"/>
    </row>
    <row r="11" ht="22" customHeight="1">
      <c r="A11" s="3" t="inlineStr">
        <is>
          <t>ILS (Iterated Local Search) — ils.py:128</t>
        </is>
      </c>
    </row>
    <row r="12" ht="36" customHeight="1">
      <c r="A12" s="4" t="inlineStr">
        <is>
          <t>Esqueleto</t>
        </is>
      </c>
      <c r="B12" s="4" t="inlineStr">
        <is>
          <t>s* = VND(s0); repete: s' = perturba(s*, k); s'' = VND(s'); se s'' melhor: s* = s'', k = k_min; senão k += step (até k_max)</t>
        </is>
      </c>
      <c r="C12" s="16" t="n"/>
      <c r="D12" s="16" t="n"/>
      <c r="E12" s="16" t="n"/>
      <c r="F12" s="16" t="n"/>
      <c r="G12" s="16" t="n"/>
      <c r="H12" s="16" t="n"/>
      <c r="I12" s="17" t="n"/>
    </row>
    <row r="13" ht="36" customHeight="1">
      <c r="A13" s="4" t="inlineStr">
        <is>
          <t>Perturbação</t>
        </is>
      </c>
      <c r="B13" s="4" t="inlineStr">
        <is>
          <t>k movimentos ALEATÓRIOS em sequência, sorteados entre as vizinhanças do VND, ACEITOS mesmo piorando (é a piora que escapa do ótimo local). Não avalia custo.</t>
        </is>
      </c>
      <c r="C13" s="16" t="n"/>
      <c r="D13" s="16" t="n"/>
      <c r="E13" s="16" t="n"/>
      <c r="F13" s="16" t="n"/>
      <c r="G13" s="16" t="n"/>
      <c r="H13" s="16" t="n"/>
      <c r="I13" s="17" t="n"/>
    </row>
    <row r="14" ht="36" customHeight="1">
      <c r="A14" s="4" t="inlineStr">
        <is>
          <t>Aceitação</t>
        </is>
      </c>
      <c r="B14" s="4" t="inlineStr">
        <is>
          <t>Better-only: só substitui s* se a chave lexicográfica for estritamente menor.</t>
        </is>
      </c>
      <c r="C14" s="16" t="n"/>
      <c r="D14" s="16" t="n"/>
      <c r="E14" s="16" t="n"/>
      <c r="F14" s="16" t="n"/>
      <c r="G14" s="16" t="n"/>
      <c r="H14" s="16" t="n"/>
      <c r="I14" s="17" t="n"/>
    </row>
    <row r="15" ht="36" customHeight="1">
      <c r="A15" s="4" t="inlineStr">
        <is>
          <t>Força crescente</t>
        </is>
      </c>
      <c r="B15" s="4" t="inlineStr">
        <is>
          <t>k começa em perturbation_min=1, sobe de perturbation_step=1 a cada estagnação, até perturbation_max=5; volta a 1 ao melhorar.</t>
        </is>
      </c>
      <c r="C15" s="16" t="n"/>
      <c r="D15" s="16" t="n"/>
      <c r="E15" s="16" t="n"/>
      <c r="F15" s="16" t="n"/>
      <c r="G15" s="16" t="n"/>
      <c r="H15" s="16" t="n"/>
      <c r="I15" s="17" t="n"/>
    </row>
    <row r="16" ht="36" customHeight="1">
      <c r="A16" s="4" t="inlineStr">
        <is>
          <t>Defaults na CLI</t>
        </is>
      </c>
      <c r="B16" s="4" t="inlineStr">
        <is>
          <t>--ils-max-iter 200, --ils-max-iter-no-improve 20. Defaults da FUNÇÃO: max_iter_no_improve=100, seed=21 (alterados no último commit; a CLI sobrescreve com --seed).</t>
        </is>
      </c>
      <c r="C16" s="16" t="n"/>
      <c r="D16" s="16" t="n"/>
      <c r="E16" s="16" t="n"/>
      <c r="F16" s="16" t="n"/>
      <c r="G16" s="16" t="n"/>
      <c r="H16" s="16" t="n"/>
      <c r="I16" s="17" t="n"/>
    </row>
    <row r="18" ht="22" customHeight="1">
      <c r="A18" s="3" t="inlineStr">
        <is>
          <t>Antes / depois — execução real</t>
        </is>
      </c>
    </row>
    <row r="19" ht="30" customHeight="1">
      <c r="A19" s="5" t="inlineStr">
        <is>
          <t>Estágio</t>
        </is>
      </c>
      <c r="B19" s="5" t="inlineStr">
        <is>
          <t>chave lex</t>
        </is>
      </c>
      <c r="C19" s="5" t="inlineStr">
        <is>
          <t>c</t>
        </is>
      </c>
      <c r="D19" s="5" t="inlineStr">
        <is>
          <t>d</t>
        </is>
      </c>
      <c r="E19" s="5" t="inlineStr">
        <is>
          <t>e</t>
        </is>
      </c>
      <c r="F19" s="5" t="inlineStr">
        <is>
          <t>f</t>
        </is>
      </c>
      <c r="G19" s="5" t="inlineStr">
        <is>
          <t>g</t>
        </is>
      </c>
      <c r="H19" s="5" t="inlineStr">
        <is>
          <t>PRV (h)</t>
        </is>
      </c>
      <c r="I19" s="5" t="inlineStr">
        <is>
          <t>tempo (s)</t>
        </is>
      </c>
    </row>
    <row r="20">
      <c r="A20" s="4" t="inlineStr">
        <is>
          <t>Melhor do GRASP</t>
        </is>
      </c>
      <c r="B20" s="4" t="inlineStr">
        <is>
          <t>(0, 12, 7)</t>
        </is>
      </c>
      <c r="C20" s="4" t="n">
        <v>0</v>
      </c>
      <c r="D20" s="4" t="n">
        <v>4</v>
      </c>
      <c r="E20" s="4" t="n">
        <v>0</v>
      </c>
      <c r="F20" s="4" t="n">
        <v>2</v>
      </c>
      <c r="G20" s="4" t="n">
        <v>6</v>
      </c>
      <c r="H20" s="4" t="n">
        <v>7</v>
      </c>
      <c r="I20" s="4" t="inlineStr">
        <is>
          <t>—</t>
        </is>
      </c>
    </row>
    <row r="21">
      <c r="A21" s="8" t="inlineStr">
        <is>
          <t>Após VND (1 passe)</t>
        </is>
      </c>
      <c r="B21" s="8" t="inlineStr">
        <is>
          <t>(0, 6, 8)</t>
        </is>
      </c>
      <c r="C21" s="8" t="n">
        <v>0</v>
      </c>
      <c r="D21" s="8" t="n">
        <v>4</v>
      </c>
      <c r="E21" s="8" t="n">
        <v>0</v>
      </c>
      <c r="F21" s="8" t="n">
        <v>0</v>
      </c>
      <c r="G21" s="8" t="n">
        <v>2</v>
      </c>
      <c r="H21" s="8" t="n">
        <v>8</v>
      </c>
      <c r="I21" s="8" t="n">
        <v>3.9</v>
      </c>
    </row>
    <row r="22">
      <c r="A22" s="15" t="inlineStr">
        <is>
          <t>Após ILS</t>
        </is>
      </c>
      <c r="B22" s="15" t="inlineStr">
        <is>
          <t>(0, 4, 9)</t>
        </is>
      </c>
      <c r="C22" s="15" t="n">
        <v>0</v>
      </c>
      <c r="D22" s="15" t="n">
        <v>4</v>
      </c>
      <c r="E22" s="15" t="n">
        <v>0</v>
      </c>
      <c r="F22" s="15" t="n">
        <v>0</v>
      </c>
      <c r="G22" s="15" t="n">
        <v>0</v>
      </c>
      <c r="H22" s="15" t="n">
        <v>9</v>
      </c>
      <c r="I22" s="15" t="n">
        <v>88.5</v>
      </c>
    </row>
    <row r="24" ht="58" customHeight="1">
      <c r="A24" s="6" t="inlineStr">
        <is>
          <t>Leitura: o ILS reduziu as violações estruturais de 12 para 4 e, para isso, ACEITOU o PRV subir de 7 para 9. É exatamente o que a chave lexicográfica manda. (d) permaneceu em 4: as âncoras congeladas impedem o VND de tocar R1/R2/R18/R19, e o piso é estrutural. PRV por estádio após ILS: Maracanã: 9.</t>
        </is>
      </c>
    </row>
  </sheetData>
  <mergeCells count="11">
    <mergeCell ref="B9:I9"/>
    <mergeCell ref="B12:I12"/>
    <mergeCell ref="B13:I13"/>
    <mergeCell ref="B15:I15"/>
    <mergeCell ref="B7:I7"/>
    <mergeCell ref="B6:I6"/>
    <mergeCell ref="B16:I16"/>
    <mergeCell ref="B5:I5"/>
    <mergeCell ref="B14:I14"/>
    <mergeCell ref="B8:I8"/>
    <mergeCell ref="A24:I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8" customHeight="1">
      <c r="A1" s="1" t="inlineStr">
        <is>
          <t>Experimentos de diagnóstico (30 seeds: 42–71, alpha 0.3)</t>
        </is>
      </c>
    </row>
    <row r="2">
      <c r="A2" s="2" t="inlineStr">
        <is>
          <t>Linhas de totais/médias/vitórias são FÓRMULAS.</t>
        </is>
      </c>
    </row>
    <row r="4" ht="22" customHeight="1">
      <c r="A4" s="3" t="inlineStr">
        <is>
          <t>A) O alpha da RCL é inerte? — rodadas (de 15) em que c_min ≠ c_max</t>
        </is>
      </c>
    </row>
    <row r="5" ht="30" customHeight="1">
      <c r="A5" s="5" t="inlineStr">
        <is>
          <t>seed</t>
        </is>
      </c>
      <c r="B5" s="5" t="inlineStr">
        <is>
          <t>rodadas com efeito</t>
        </is>
      </c>
      <c r="C5" s="5" t="inlineStr">
        <is>
          <t>de 15</t>
        </is>
      </c>
    </row>
    <row r="6">
      <c r="A6" s="4" t="n">
        <v>42</v>
      </c>
      <c r="B6" s="4" t="n">
        <v>0</v>
      </c>
      <c r="C6" s="4" t="n">
        <v>15</v>
      </c>
    </row>
    <row r="7">
      <c r="A7" s="4" t="n">
        <v>43</v>
      </c>
      <c r="B7" s="4" t="n">
        <v>1</v>
      </c>
      <c r="C7" s="4" t="n">
        <v>15</v>
      </c>
    </row>
    <row r="8">
      <c r="A8" s="4" t="n">
        <v>44</v>
      </c>
      <c r="B8" s="4" t="n">
        <v>2</v>
      </c>
      <c r="C8" s="4" t="n">
        <v>15</v>
      </c>
    </row>
    <row r="9">
      <c r="A9" s="4" t="n">
        <v>45</v>
      </c>
      <c r="B9" s="4" t="n">
        <v>2</v>
      </c>
      <c r="C9" s="4" t="n">
        <v>15</v>
      </c>
    </row>
    <row r="10">
      <c r="A10" s="4" t="n">
        <v>46</v>
      </c>
      <c r="B10" s="4" t="n">
        <v>2</v>
      </c>
      <c r="C10" s="4" t="n">
        <v>15</v>
      </c>
    </row>
    <row r="11">
      <c r="A11" s="4" t="n">
        <v>47</v>
      </c>
      <c r="B11" s="4" t="n">
        <v>1</v>
      </c>
      <c r="C11" s="4" t="n">
        <v>15</v>
      </c>
    </row>
    <row r="12">
      <c r="A12" s="4" t="n">
        <v>48</v>
      </c>
      <c r="B12" s="4" t="n">
        <v>1</v>
      </c>
      <c r="C12" s="4" t="n">
        <v>15</v>
      </c>
    </row>
    <row r="13">
      <c r="A13" s="4" t="n">
        <v>49</v>
      </c>
      <c r="B13" s="4" t="n">
        <v>2</v>
      </c>
      <c r="C13" s="4" t="n">
        <v>15</v>
      </c>
    </row>
    <row r="14">
      <c r="A14" s="4" t="n">
        <v>50</v>
      </c>
      <c r="B14" s="4" t="n">
        <v>1</v>
      </c>
      <c r="C14" s="4" t="n">
        <v>15</v>
      </c>
    </row>
    <row r="15">
      <c r="A15" s="4" t="n">
        <v>51</v>
      </c>
      <c r="B15" s="4" t="n">
        <v>2</v>
      </c>
      <c r="C15" s="4" t="n">
        <v>15</v>
      </c>
    </row>
    <row r="16">
      <c r="A16" s="4" t="n">
        <v>52</v>
      </c>
      <c r="B16" s="4" t="n">
        <v>1</v>
      </c>
      <c r="C16" s="4" t="n">
        <v>15</v>
      </c>
    </row>
    <row r="17">
      <c r="A17" s="4" t="n">
        <v>53</v>
      </c>
      <c r="B17" s="4" t="n">
        <v>0</v>
      </c>
      <c r="C17" s="4" t="n">
        <v>15</v>
      </c>
    </row>
    <row r="18">
      <c r="A18" s="4" t="n">
        <v>54</v>
      </c>
      <c r="B18" s="4" t="n">
        <v>1</v>
      </c>
      <c r="C18" s="4" t="n">
        <v>15</v>
      </c>
    </row>
    <row r="19">
      <c r="A19" s="4" t="n">
        <v>55</v>
      </c>
      <c r="B19" s="4" t="n">
        <v>2</v>
      </c>
      <c r="C19" s="4" t="n">
        <v>15</v>
      </c>
    </row>
    <row r="20">
      <c r="A20" s="4" t="n">
        <v>56</v>
      </c>
      <c r="B20" s="4" t="n">
        <v>3</v>
      </c>
      <c r="C20" s="4" t="n">
        <v>15</v>
      </c>
    </row>
    <row r="21">
      <c r="A21" s="4" t="n">
        <v>57</v>
      </c>
      <c r="B21" s="4" t="n">
        <v>1</v>
      </c>
      <c r="C21" s="4" t="n">
        <v>15</v>
      </c>
    </row>
    <row r="22">
      <c r="A22" s="4" t="n">
        <v>58</v>
      </c>
      <c r="B22" s="4" t="n">
        <v>1</v>
      </c>
      <c r="C22" s="4" t="n">
        <v>15</v>
      </c>
    </row>
    <row r="23">
      <c r="A23" s="4" t="n">
        <v>59</v>
      </c>
      <c r="B23" s="4" t="n">
        <v>2</v>
      </c>
      <c r="C23" s="4" t="n">
        <v>15</v>
      </c>
    </row>
    <row r="24">
      <c r="A24" s="4" t="n">
        <v>60</v>
      </c>
      <c r="B24" s="4" t="n">
        <v>0</v>
      </c>
      <c r="C24" s="4" t="n">
        <v>15</v>
      </c>
    </row>
    <row r="25">
      <c r="A25" s="4" t="n">
        <v>61</v>
      </c>
      <c r="B25" s="4" t="n">
        <v>0</v>
      </c>
      <c r="C25" s="4" t="n">
        <v>15</v>
      </c>
    </row>
    <row r="26">
      <c r="A26" s="4" t="n">
        <v>62</v>
      </c>
      <c r="B26" s="4" t="n">
        <v>0</v>
      </c>
      <c r="C26" s="4" t="n">
        <v>15</v>
      </c>
    </row>
    <row r="27">
      <c r="A27" s="4" t="n">
        <v>63</v>
      </c>
      <c r="B27" s="4" t="n">
        <v>0</v>
      </c>
      <c r="C27" s="4" t="n">
        <v>15</v>
      </c>
    </row>
    <row r="28">
      <c r="A28" s="4" t="n">
        <v>64</v>
      </c>
      <c r="B28" s="4" t="n">
        <v>2</v>
      </c>
      <c r="C28" s="4" t="n">
        <v>15</v>
      </c>
    </row>
    <row r="29">
      <c r="A29" s="4" t="n">
        <v>65</v>
      </c>
      <c r="B29" s="4" t="n">
        <v>0</v>
      </c>
      <c r="C29" s="4" t="n">
        <v>15</v>
      </c>
    </row>
    <row r="30">
      <c r="A30" s="4" t="n">
        <v>66</v>
      </c>
      <c r="B30" s="4" t="n">
        <v>0</v>
      </c>
      <c r="C30" s="4" t="n">
        <v>15</v>
      </c>
    </row>
    <row r="31">
      <c r="A31" s="4" t="n">
        <v>67</v>
      </c>
      <c r="B31" s="4" t="n">
        <v>1</v>
      </c>
      <c r="C31" s="4" t="n">
        <v>15</v>
      </c>
    </row>
    <row r="32">
      <c r="A32" s="4" t="n">
        <v>68</v>
      </c>
      <c r="B32" s="4" t="n">
        <v>1</v>
      </c>
      <c r="C32" s="4" t="n">
        <v>15</v>
      </c>
    </row>
    <row r="33">
      <c r="A33" s="4" t="n">
        <v>69</v>
      </c>
      <c r="B33" s="4" t="n">
        <v>2</v>
      </c>
      <c r="C33" s="4" t="n">
        <v>15</v>
      </c>
    </row>
    <row r="34">
      <c r="A34" s="4" t="n">
        <v>70</v>
      </c>
      <c r="B34" s="4" t="n">
        <v>3</v>
      </c>
      <c r="C34" s="4" t="n">
        <v>15</v>
      </c>
    </row>
    <row r="35">
      <c r="A35" s="4" t="n">
        <v>71</v>
      </c>
      <c r="B35" s="4" t="n">
        <v>0</v>
      </c>
      <c r="C35" s="4" t="n">
        <v>15</v>
      </c>
    </row>
    <row r="36">
      <c r="A36" s="18" t="inlineStr">
        <is>
          <t>Total</t>
        </is>
      </c>
      <c r="B36" s="12">
        <f>SUM(B6:B35)</f>
        <v/>
      </c>
      <c r="C36" s="12">
        <f>SUM(C6:C35)</f>
        <v/>
      </c>
    </row>
    <row r="37">
      <c r="A37" s="18" t="inlineStr">
        <is>
          <t>% com efeito</t>
        </is>
      </c>
      <c r="B37" s="19">
        <f>B36/C36</f>
        <v/>
      </c>
    </row>
    <row r="39" ht="58" customHeight="1">
      <c r="A39" s="6" t="inlineStr">
        <is>
          <t>Mecanismo: o filtro de (g) em construction.py:612 restringe o pool a candidatos com g = 0 sempre que existe algum; entre esses, f também dá 0 nas rodadas iniciais (as penalidades de (f) só acendem quando um time já não consegue equilibrar). Custo = 0 para todo o pool ⇒ c_min = c_max ⇒ limiar = c_min ⇒ RCL = pool inteiro, para qualquer alpha. Na seed 42 isso vale em 15/15 rodadas: alpha 0.0 e 1.0 geram as MESMAS 380 partidas.</t>
        </is>
      </c>
    </row>
    <row r="41" ht="22" customHeight="1">
      <c r="A41" s="3" t="inlineStr">
        <is>
          <t>B) Embaralhar a ordem dos times antes do circle_method (shuffle seedado)</t>
        </is>
      </c>
    </row>
    <row r="42" ht="30" customHeight="1">
      <c r="A42" s="5" t="inlineStr">
        <is>
          <t>seed</t>
        </is>
      </c>
      <c r="B42" s="5" t="inlineStr">
        <is>
          <t>base: hard</t>
        </is>
      </c>
      <c r="C42" s="5" t="inlineStr">
        <is>
          <t>base: soft</t>
        </is>
      </c>
      <c r="D42" s="5" t="inlineStr">
        <is>
          <t>base: prv</t>
        </is>
      </c>
      <c r="E42" s="5" t="inlineStr"/>
      <c r="F42" s="5" t="inlineStr">
        <is>
          <t>shuffle: hard</t>
        </is>
      </c>
      <c r="G42" s="5" t="inlineStr">
        <is>
          <t>shuffle: soft</t>
        </is>
      </c>
      <c r="H42" s="5" t="inlineStr">
        <is>
          <t>shuffle: prv</t>
        </is>
      </c>
      <c r="I42" s="5" t="inlineStr">
        <is>
          <t>vencedor</t>
        </is>
      </c>
    </row>
    <row r="43">
      <c r="A43" s="9" t="n">
        <v>42</v>
      </c>
      <c r="B43" s="9" t="n">
        <v>0</v>
      </c>
      <c r="C43" s="9" t="n">
        <v>22</v>
      </c>
      <c r="D43" s="9" t="n">
        <v>7</v>
      </c>
      <c r="E43" s="9" t="n"/>
      <c r="F43" s="9" t="n">
        <v>0</v>
      </c>
      <c r="G43" s="9" t="n">
        <v>27</v>
      </c>
      <c r="H43" s="9" t="n">
        <v>8</v>
      </c>
      <c r="I43" s="9">
        <f>IF(B43&lt;F43,"base",IF(B43&gt;F43,"shuffle",IF(C43&lt;G43,"base",IF(C43&gt;G43,"shuffle",IF(D43&lt;H43,"base",IF(D43&gt;H43,"shuffle","empate"))))))</f>
        <v/>
      </c>
    </row>
    <row r="44">
      <c r="A44" s="9" t="n">
        <v>43</v>
      </c>
      <c r="B44" s="9" t="n">
        <v>0</v>
      </c>
      <c r="C44" s="9" t="n">
        <v>31</v>
      </c>
      <c r="D44" s="9" t="n">
        <v>7</v>
      </c>
      <c r="E44" s="9" t="n"/>
      <c r="F44" s="9" t="n">
        <v>0</v>
      </c>
      <c r="G44" s="9" t="n">
        <v>17</v>
      </c>
      <c r="H44" s="9" t="n">
        <v>7</v>
      </c>
      <c r="I44" s="9">
        <f>IF(B44&lt;F44,"base",IF(B44&gt;F44,"shuffle",IF(C44&lt;G44,"base",IF(C44&gt;G44,"shuffle",IF(D44&lt;H44,"base",IF(D44&gt;H44,"shuffle","empate"))))))</f>
        <v/>
      </c>
    </row>
    <row r="45">
      <c r="A45" s="9" t="n">
        <v>44</v>
      </c>
      <c r="B45" s="9" t="n">
        <v>0</v>
      </c>
      <c r="C45" s="9" t="n">
        <v>31</v>
      </c>
      <c r="D45" s="9" t="n">
        <v>13</v>
      </c>
      <c r="E45" s="9" t="n"/>
      <c r="F45" s="9" t="n">
        <v>0</v>
      </c>
      <c r="G45" s="9" t="n">
        <v>16</v>
      </c>
      <c r="H45" s="9" t="n">
        <v>11</v>
      </c>
      <c r="I45" s="9">
        <f>IF(B45&lt;F45,"base",IF(B45&gt;F45,"shuffle",IF(C45&lt;G45,"base",IF(C45&gt;G45,"shuffle",IF(D45&lt;H45,"base",IF(D45&gt;H45,"shuffle","empate"))))))</f>
        <v/>
      </c>
    </row>
    <row r="46">
      <c r="A46" s="9" t="n">
        <v>45</v>
      </c>
      <c r="B46" s="9" t="n">
        <v>0</v>
      </c>
      <c r="C46" s="9" t="n">
        <v>22</v>
      </c>
      <c r="D46" s="9" t="n">
        <v>10</v>
      </c>
      <c r="E46" s="9" t="n"/>
      <c r="F46" s="9" t="n">
        <v>0</v>
      </c>
      <c r="G46" s="9" t="n">
        <v>33</v>
      </c>
      <c r="H46" s="9" t="n">
        <v>10</v>
      </c>
      <c r="I46" s="9">
        <f>IF(B46&lt;F46,"base",IF(B46&gt;F46,"shuffle",IF(C46&lt;G46,"base",IF(C46&gt;G46,"shuffle",IF(D46&lt;H46,"base",IF(D46&gt;H46,"shuffle","empate"))))))</f>
        <v/>
      </c>
    </row>
    <row r="47">
      <c r="A47" s="9" t="n">
        <v>46</v>
      </c>
      <c r="B47" s="9" t="n">
        <v>0</v>
      </c>
      <c r="C47" s="9" t="n">
        <v>24</v>
      </c>
      <c r="D47" s="9" t="n">
        <v>6</v>
      </c>
      <c r="E47" s="9" t="n"/>
      <c r="F47" s="9" t="n">
        <v>0</v>
      </c>
      <c r="G47" s="9" t="n">
        <v>36</v>
      </c>
      <c r="H47" s="9" t="n">
        <v>8</v>
      </c>
      <c r="I47" s="9">
        <f>IF(B47&lt;F47,"base",IF(B47&gt;F47,"shuffle",IF(C47&lt;G47,"base",IF(C47&gt;G47,"shuffle",IF(D47&lt;H47,"base",IF(D47&gt;H47,"shuffle","empate"))))))</f>
        <v/>
      </c>
    </row>
    <row r="48">
      <c r="A48" s="9" t="n">
        <v>47</v>
      </c>
      <c r="B48" s="9" t="n">
        <v>0</v>
      </c>
      <c r="C48" s="9" t="n">
        <v>16</v>
      </c>
      <c r="D48" s="9" t="n">
        <v>7</v>
      </c>
      <c r="E48" s="9" t="n"/>
      <c r="F48" s="9" t="n">
        <v>0</v>
      </c>
      <c r="G48" s="9" t="n">
        <v>23</v>
      </c>
      <c r="H48" s="9" t="n">
        <v>12</v>
      </c>
      <c r="I48" s="9">
        <f>IF(B48&lt;F48,"base",IF(B48&gt;F48,"shuffle",IF(C48&lt;G48,"base",IF(C48&gt;G48,"shuffle",IF(D48&lt;H48,"base",IF(D48&gt;H48,"shuffle","empate"))))))</f>
        <v/>
      </c>
    </row>
    <row r="49">
      <c r="A49" s="9" t="n">
        <v>48</v>
      </c>
      <c r="B49" s="9" t="n">
        <v>0</v>
      </c>
      <c r="C49" s="9" t="n">
        <v>18</v>
      </c>
      <c r="D49" s="9" t="n">
        <v>12</v>
      </c>
      <c r="E49" s="9" t="n"/>
      <c r="F49" s="9" t="n">
        <v>0</v>
      </c>
      <c r="G49" s="9" t="n">
        <v>34</v>
      </c>
      <c r="H49" s="9" t="n">
        <v>8</v>
      </c>
      <c r="I49" s="9">
        <f>IF(B49&lt;F49,"base",IF(B49&gt;F49,"shuffle",IF(C49&lt;G49,"base",IF(C49&gt;G49,"shuffle",IF(D49&lt;H49,"base",IF(D49&gt;H49,"shuffle","empate"))))))</f>
        <v/>
      </c>
    </row>
    <row r="50">
      <c r="A50" s="9" t="n">
        <v>49</v>
      </c>
      <c r="B50" s="9" t="n">
        <v>0</v>
      </c>
      <c r="C50" s="9" t="n">
        <v>30</v>
      </c>
      <c r="D50" s="9" t="n">
        <v>11</v>
      </c>
      <c r="E50" s="9" t="n"/>
      <c r="F50" s="9" t="n">
        <v>0</v>
      </c>
      <c r="G50" s="9" t="n">
        <v>14</v>
      </c>
      <c r="H50" s="9" t="n">
        <v>9</v>
      </c>
      <c r="I50" s="9">
        <f>IF(B50&lt;F50,"base",IF(B50&gt;F50,"shuffle",IF(C50&lt;G50,"base",IF(C50&gt;G50,"shuffle",IF(D50&lt;H50,"base",IF(D50&gt;H50,"shuffle","empate"))))))</f>
        <v/>
      </c>
    </row>
    <row r="51">
      <c r="A51" s="9" t="n">
        <v>50</v>
      </c>
      <c r="B51" s="9" t="n">
        <v>0</v>
      </c>
      <c r="C51" s="9" t="n">
        <v>19</v>
      </c>
      <c r="D51" s="9" t="n">
        <v>7</v>
      </c>
      <c r="E51" s="9" t="n"/>
      <c r="F51" s="9" t="n">
        <v>0</v>
      </c>
      <c r="G51" s="9" t="n">
        <v>16</v>
      </c>
      <c r="H51" s="9" t="n">
        <v>10</v>
      </c>
      <c r="I51" s="9">
        <f>IF(B51&lt;F51,"base",IF(B51&gt;F51,"shuffle",IF(C51&lt;G51,"base",IF(C51&gt;G51,"shuffle",IF(D51&lt;H51,"base",IF(D51&gt;H51,"shuffle","empate"))))))</f>
        <v/>
      </c>
    </row>
    <row r="52">
      <c r="A52" s="9" t="n">
        <v>51</v>
      </c>
      <c r="B52" s="9" t="n">
        <v>0</v>
      </c>
      <c r="C52" s="9" t="n">
        <v>24</v>
      </c>
      <c r="D52" s="9" t="n">
        <v>8</v>
      </c>
      <c r="E52" s="9" t="n"/>
      <c r="F52" s="9" t="n">
        <v>0</v>
      </c>
      <c r="G52" s="9" t="n">
        <v>24</v>
      </c>
      <c r="H52" s="9" t="n">
        <v>6</v>
      </c>
      <c r="I52" s="9">
        <f>IF(B52&lt;F52,"base",IF(B52&gt;F52,"shuffle",IF(C52&lt;G52,"base",IF(C52&gt;G52,"shuffle",IF(D52&lt;H52,"base",IF(D52&gt;H52,"shuffle","empate"))))))</f>
        <v/>
      </c>
    </row>
    <row r="53">
      <c r="A53" s="9" t="n">
        <v>52</v>
      </c>
      <c r="B53" s="9" t="n">
        <v>0</v>
      </c>
      <c r="C53" s="9" t="n">
        <v>21</v>
      </c>
      <c r="D53" s="9" t="n">
        <v>12</v>
      </c>
      <c r="E53" s="9" t="n"/>
      <c r="F53" s="9" t="n">
        <v>0</v>
      </c>
      <c r="G53" s="9" t="n">
        <v>24</v>
      </c>
      <c r="H53" s="9" t="n">
        <v>11</v>
      </c>
      <c r="I53" s="9">
        <f>IF(B53&lt;F53,"base",IF(B53&gt;F53,"shuffle",IF(C53&lt;G53,"base",IF(C53&gt;G53,"shuffle",IF(D53&lt;H53,"base",IF(D53&gt;H53,"shuffle","empate"))))))</f>
        <v/>
      </c>
    </row>
    <row r="54">
      <c r="A54" s="9" t="n">
        <v>53</v>
      </c>
      <c r="B54" s="9" t="n">
        <v>0</v>
      </c>
      <c r="C54" s="9" t="n">
        <v>21</v>
      </c>
      <c r="D54" s="9" t="n">
        <v>11</v>
      </c>
      <c r="E54" s="9" t="n"/>
      <c r="F54" s="9" t="n">
        <v>0</v>
      </c>
      <c r="G54" s="9" t="n">
        <v>12</v>
      </c>
      <c r="H54" s="9" t="n">
        <v>10</v>
      </c>
      <c r="I54" s="9">
        <f>IF(B54&lt;F54,"base",IF(B54&gt;F54,"shuffle",IF(C54&lt;G54,"base",IF(C54&gt;G54,"shuffle",IF(D54&lt;H54,"base",IF(D54&gt;H54,"shuffle","empate"))))))</f>
        <v/>
      </c>
    </row>
    <row r="55">
      <c r="A55" s="9" t="n">
        <v>54</v>
      </c>
      <c r="B55" s="9" t="n">
        <v>0</v>
      </c>
      <c r="C55" s="9" t="n">
        <v>25</v>
      </c>
      <c r="D55" s="9" t="n">
        <v>9</v>
      </c>
      <c r="E55" s="9" t="n"/>
      <c r="F55" s="9" t="n">
        <v>0</v>
      </c>
      <c r="G55" s="9" t="n">
        <v>33</v>
      </c>
      <c r="H55" s="9" t="n">
        <v>6</v>
      </c>
      <c r="I55" s="9">
        <f>IF(B55&lt;F55,"base",IF(B55&gt;F55,"shuffle",IF(C55&lt;G55,"base",IF(C55&gt;G55,"shuffle",IF(D55&lt;H55,"base",IF(D55&gt;H55,"shuffle","empate"))))))</f>
        <v/>
      </c>
    </row>
    <row r="56">
      <c r="A56" s="9" t="n">
        <v>55</v>
      </c>
      <c r="B56" s="9" t="n">
        <v>0</v>
      </c>
      <c r="C56" s="9" t="n">
        <v>25</v>
      </c>
      <c r="D56" s="9" t="n">
        <v>6</v>
      </c>
      <c r="E56" s="9" t="n"/>
      <c r="F56" s="9" t="n">
        <v>0</v>
      </c>
      <c r="G56" s="9" t="n">
        <v>14</v>
      </c>
      <c r="H56" s="9" t="n">
        <v>10</v>
      </c>
      <c r="I56" s="9">
        <f>IF(B56&lt;F56,"base",IF(B56&gt;F56,"shuffle",IF(C56&lt;G56,"base",IF(C56&gt;G56,"shuffle",IF(D56&lt;H56,"base",IF(D56&gt;H56,"shuffle","empate"))))))</f>
        <v/>
      </c>
    </row>
    <row r="57">
      <c r="A57" s="9" t="n">
        <v>56</v>
      </c>
      <c r="B57" s="9" t="n">
        <v>0</v>
      </c>
      <c r="C57" s="9" t="n">
        <v>28</v>
      </c>
      <c r="D57" s="9" t="n">
        <v>12</v>
      </c>
      <c r="E57" s="9" t="n"/>
      <c r="F57" s="9" t="n">
        <v>0</v>
      </c>
      <c r="G57" s="9" t="n">
        <v>15</v>
      </c>
      <c r="H57" s="9" t="n">
        <v>13</v>
      </c>
      <c r="I57" s="9">
        <f>IF(B57&lt;F57,"base",IF(B57&gt;F57,"shuffle",IF(C57&lt;G57,"base",IF(C57&gt;G57,"shuffle",IF(D57&lt;H57,"base",IF(D57&gt;H57,"shuffle","empate"))))))</f>
        <v/>
      </c>
    </row>
    <row r="58">
      <c r="A58" s="9" t="n">
        <v>57</v>
      </c>
      <c r="B58" s="9" t="n">
        <v>0</v>
      </c>
      <c r="C58" s="9" t="n">
        <v>31</v>
      </c>
      <c r="D58" s="9" t="n">
        <v>7</v>
      </c>
      <c r="E58" s="9" t="n"/>
      <c r="F58" s="9" t="n">
        <v>0</v>
      </c>
      <c r="G58" s="9" t="n">
        <v>12</v>
      </c>
      <c r="H58" s="9" t="n">
        <v>8</v>
      </c>
      <c r="I58" s="9">
        <f>IF(B58&lt;F58,"base",IF(B58&gt;F58,"shuffle",IF(C58&lt;G58,"base",IF(C58&gt;G58,"shuffle",IF(D58&lt;H58,"base",IF(D58&gt;H58,"shuffle","empate"))))))</f>
        <v/>
      </c>
    </row>
    <row r="59">
      <c r="A59" s="9" t="n">
        <v>58</v>
      </c>
      <c r="B59" s="9" t="n">
        <v>0</v>
      </c>
      <c r="C59" s="9" t="n">
        <v>21</v>
      </c>
      <c r="D59" s="9" t="n">
        <v>9</v>
      </c>
      <c r="E59" s="9" t="n"/>
      <c r="F59" s="9" t="n">
        <v>0</v>
      </c>
      <c r="G59" s="9" t="n">
        <v>20</v>
      </c>
      <c r="H59" s="9" t="n">
        <v>6</v>
      </c>
      <c r="I59" s="9">
        <f>IF(B59&lt;F59,"base",IF(B59&gt;F59,"shuffle",IF(C59&lt;G59,"base",IF(C59&gt;G59,"shuffle",IF(D59&lt;H59,"base",IF(D59&gt;H59,"shuffle","empate"))))))</f>
        <v/>
      </c>
    </row>
    <row r="60">
      <c r="A60" s="9" t="n">
        <v>59</v>
      </c>
      <c r="B60" s="9" t="n">
        <v>0</v>
      </c>
      <c r="C60" s="9" t="n">
        <v>37</v>
      </c>
      <c r="D60" s="9" t="n">
        <v>13</v>
      </c>
      <c r="E60" s="9" t="n"/>
      <c r="F60" s="9" t="n">
        <v>0</v>
      </c>
      <c r="G60" s="9" t="n">
        <v>21</v>
      </c>
      <c r="H60" s="9" t="n">
        <v>10</v>
      </c>
      <c r="I60" s="9">
        <f>IF(B60&lt;F60,"base",IF(B60&gt;F60,"shuffle",IF(C60&lt;G60,"base",IF(C60&gt;G60,"shuffle",IF(D60&lt;H60,"base",IF(D60&gt;H60,"shuffle","empate"))))))</f>
        <v/>
      </c>
    </row>
    <row r="61">
      <c r="A61" s="9" t="n">
        <v>60</v>
      </c>
      <c r="B61" s="9" t="n">
        <v>0</v>
      </c>
      <c r="C61" s="9" t="n">
        <v>14</v>
      </c>
      <c r="D61" s="9" t="n">
        <v>13</v>
      </c>
      <c r="E61" s="9" t="n"/>
      <c r="F61" s="9" t="n">
        <v>0</v>
      </c>
      <c r="G61" s="9" t="n">
        <v>28</v>
      </c>
      <c r="H61" s="9" t="n">
        <v>11</v>
      </c>
      <c r="I61" s="9">
        <f>IF(B61&lt;F61,"base",IF(B61&gt;F61,"shuffle",IF(C61&lt;G61,"base",IF(C61&gt;G61,"shuffle",IF(D61&lt;H61,"base",IF(D61&gt;H61,"shuffle","empate"))))))</f>
        <v/>
      </c>
    </row>
    <row r="62">
      <c r="A62" s="9" t="n">
        <v>61</v>
      </c>
      <c r="B62" s="9" t="n">
        <v>0</v>
      </c>
      <c r="C62" s="9" t="n">
        <v>28</v>
      </c>
      <c r="D62" s="9" t="n">
        <v>6</v>
      </c>
      <c r="E62" s="9" t="n"/>
      <c r="F62" s="9" t="n">
        <v>0</v>
      </c>
      <c r="G62" s="9" t="n">
        <v>33</v>
      </c>
      <c r="H62" s="9" t="n">
        <v>9</v>
      </c>
      <c r="I62" s="9">
        <f>IF(B62&lt;F62,"base",IF(B62&gt;F62,"shuffle",IF(C62&lt;G62,"base",IF(C62&gt;G62,"shuffle",IF(D62&lt;H62,"base",IF(D62&gt;H62,"shuffle","empate"))))))</f>
        <v/>
      </c>
    </row>
    <row r="63">
      <c r="A63" s="9" t="n">
        <v>62</v>
      </c>
      <c r="B63" s="9" t="n">
        <v>0</v>
      </c>
      <c r="C63" s="9" t="n">
        <v>15</v>
      </c>
      <c r="D63" s="9" t="n">
        <v>6</v>
      </c>
      <c r="E63" s="9" t="n"/>
      <c r="F63" s="9" t="n">
        <v>0</v>
      </c>
      <c r="G63" s="9" t="n">
        <v>22</v>
      </c>
      <c r="H63" s="9" t="n">
        <v>8</v>
      </c>
      <c r="I63" s="9">
        <f>IF(B63&lt;F63,"base",IF(B63&gt;F63,"shuffle",IF(C63&lt;G63,"base",IF(C63&gt;G63,"shuffle",IF(D63&lt;H63,"base",IF(D63&gt;H63,"shuffle","empate"))))))</f>
        <v/>
      </c>
    </row>
    <row r="64">
      <c r="A64" s="9" t="n">
        <v>63</v>
      </c>
      <c r="B64" s="9" t="n">
        <v>0</v>
      </c>
      <c r="C64" s="9" t="n">
        <v>15</v>
      </c>
      <c r="D64" s="9" t="n">
        <v>9</v>
      </c>
      <c r="E64" s="9" t="n"/>
      <c r="F64" s="9" t="n">
        <v>0</v>
      </c>
      <c r="G64" s="9" t="n">
        <v>28</v>
      </c>
      <c r="H64" s="9" t="n">
        <v>11</v>
      </c>
      <c r="I64" s="9">
        <f>IF(B64&lt;F64,"base",IF(B64&gt;F64,"shuffle",IF(C64&lt;G64,"base",IF(C64&gt;G64,"shuffle",IF(D64&lt;H64,"base",IF(D64&gt;H64,"shuffle","empate"))))))</f>
        <v/>
      </c>
    </row>
    <row r="65">
      <c r="A65" s="9" t="n">
        <v>64</v>
      </c>
      <c r="B65" s="9" t="n">
        <v>0</v>
      </c>
      <c r="C65" s="9" t="n">
        <v>18</v>
      </c>
      <c r="D65" s="9" t="n">
        <v>4</v>
      </c>
      <c r="E65" s="9" t="n"/>
      <c r="F65" s="9" t="n">
        <v>0</v>
      </c>
      <c r="G65" s="9" t="n">
        <v>17</v>
      </c>
      <c r="H65" s="9" t="n">
        <v>11</v>
      </c>
      <c r="I65" s="9">
        <f>IF(B65&lt;F65,"base",IF(B65&gt;F65,"shuffle",IF(C65&lt;G65,"base",IF(C65&gt;G65,"shuffle",IF(D65&lt;H65,"base",IF(D65&gt;H65,"shuffle","empate"))))))</f>
        <v/>
      </c>
    </row>
    <row r="66">
      <c r="A66" s="9" t="n">
        <v>65</v>
      </c>
      <c r="B66" s="9" t="n">
        <v>0</v>
      </c>
      <c r="C66" s="9" t="n">
        <v>16</v>
      </c>
      <c r="D66" s="9" t="n">
        <v>2</v>
      </c>
      <c r="E66" s="9" t="n"/>
      <c r="F66" s="9" t="n">
        <v>0</v>
      </c>
      <c r="G66" s="9" t="n">
        <v>25</v>
      </c>
      <c r="H66" s="9" t="n">
        <v>12</v>
      </c>
      <c r="I66" s="9">
        <f>IF(B66&lt;F66,"base",IF(B66&gt;F66,"shuffle",IF(C66&lt;G66,"base",IF(C66&gt;G66,"shuffle",IF(D66&lt;H66,"base",IF(D66&gt;H66,"shuffle","empate"))))))</f>
        <v/>
      </c>
    </row>
    <row r="67">
      <c r="A67" s="9" t="n">
        <v>66</v>
      </c>
      <c r="B67" s="9" t="n">
        <v>0</v>
      </c>
      <c r="C67" s="9" t="n">
        <v>17</v>
      </c>
      <c r="D67" s="9" t="n">
        <v>3</v>
      </c>
      <c r="E67" s="9" t="n"/>
      <c r="F67" s="9" t="n">
        <v>0</v>
      </c>
      <c r="G67" s="9" t="n">
        <v>23</v>
      </c>
      <c r="H67" s="9" t="n">
        <v>7</v>
      </c>
      <c r="I67" s="9">
        <f>IF(B67&lt;F67,"base",IF(B67&gt;F67,"shuffle",IF(C67&lt;G67,"base",IF(C67&gt;G67,"shuffle",IF(D67&lt;H67,"base",IF(D67&gt;H67,"shuffle","empate"))))))</f>
        <v/>
      </c>
    </row>
    <row r="68">
      <c r="A68" s="9" t="n">
        <v>67</v>
      </c>
      <c r="B68" s="9" t="n">
        <v>0</v>
      </c>
      <c r="C68" s="9" t="n">
        <v>17</v>
      </c>
      <c r="D68" s="9" t="n">
        <v>8</v>
      </c>
      <c r="E68" s="9" t="n"/>
      <c r="F68" s="9" t="n">
        <v>0</v>
      </c>
      <c r="G68" s="9" t="n">
        <v>22</v>
      </c>
      <c r="H68" s="9" t="n">
        <v>4</v>
      </c>
      <c r="I68" s="9">
        <f>IF(B68&lt;F68,"base",IF(B68&gt;F68,"shuffle",IF(C68&lt;G68,"base",IF(C68&gt;G68,"shuffle",IF(D68&lt;H68,"base",IF(D68&gt;H68,"shuffle","empate"))))))</f>
        <v/>
      </c>
    </row>
    <row r="69">
      <c r="A69" s="9" t="n">
        <v>68</v>
      </c>
      <c r="B69" s="9" t="n">
        <v>0</v>
      </c>
      <c r="C69" s="9" t="n">
        <v>26</v>
      </c>
      <c r="D69" s="9" t="n">
        <v>12</v>
      </c>
      <c r="E69" s="9" t="n"/>
      <c r="F69" s="9" t="n">
        <v>0</v>
      </c>
      <c r="G69" s="9" t="n">
        <v>17</v>
      </c>
      <c r="H69" s="9" t="n">
        <v>9</v>
      </c>
      <c r="I69" s="9">
        <f>IF(B69&lt;F69,"base",IF(B69&gt;F69,"shuffle",IF(C69&lt;G69,"base",IF(C69&gt;G69,"shuffle",IF(D69&lt;H69,"base",IF(D69&gt;H69,"shuffle","empate"))))))</f>
        <v/>
      </c>
    </row>
    <row r="70">
      <c r="A70" s="9" t="n">
        <v>69</v>
      </c>
      <c r="B70" s="9" t="n">
        <v>0</v>
      </c>
      <c r="C70" s="9" t="n">
        <v>32</v>
      </c>
      <c r="D70" s="9" t="n">
        <v>7</v>
      </c>
      <c r="E70" s="9" t="n"/>
      <c r="F70" s="9" t="n">
        <v>0</v>
      </c>
      <c r="G70" s="9" t="n">
        <v>22</v>
      </c>
      <c r="H70" s="9" t="n">
        <v>13</v>
      </c>
      <c r="I70" s="9">
        <f>IF(B70&lt;F70,"base",IF(B70&gt;F70,"shuffle",IF(C70&lt;G70,"base",IF(C70&gt;G70,"shuffle",IF(D70&lt;H70,"base",IF(D70&gt;H70,"shuffle","empate"))))))</f>
        <v/>
      </c>
    </row>
    <row r="71">
      <c r="A71" s="9" t="n">
        <v>70</v>
      </c>
      <c r="B71" s="9" t="n">
        <v>0</v>
      </c>
      <c r="C71" s="9" t="n">
        <v>32</v>
      </c>
      <c r="D71" s="9" t="n">
        <v>9</v>
      </c>
      <c r="E71" s="9" t="n"/>
      <c r="F71" s="9" t="n">
        <v>0</v>
      </c>
      <c r="G71" s="9" t="n">
        <v>27</v>
      </c>
      <c r="H71" s="9" t="n">
        <v>9</v>
      </c>
      <c r="I71" s="9">
        <f>IF(B71&lt;F71,"base",IF(B71&gt;F71,"shuffle",IF(C71&lt;G71,"base",IF(C71&gt;G71,"shuffle",IF(D71&lt;H71,"base",IF(D71&gt;H71,"shuffle","empate"))))))</f>
        <v/>
      </c>
    </row>
    <row r="72">
      <c r="A72" s="9" t="n">
        <v>71</v>
      </c>
      <c r="B72" s="9" t="n">
        <v>0</v>
      </c>
      <c r="C72" s="9" t="n">
        <v>18</v>
      </c>
      <c r="D72" s="9" t="n">
        <v>9</v>
      </c>
      <c r="E72" s="9" t="n"/>
      <c r="F72" s="9" t="n">
        <v>0</v>
      </c>
      <c r="G72" s="9" t="n">
        <v>14</v>
      </c>
      <c r="H72" s="9" t="n">
        <v>13</v>
      </c>
      <c r="I72" s="9">
        <f>IF(B72&lt;F72,"base",IF(B72&gt;F72,"shuffle",IF(C72&lt;G72,"base",IF(C72&gt;G72,"shuffle",IF(D72&lt;H72,"base",IF(D72&gt;H72,"shuffle","empate"))))))</f>
        <v/>
      </c>
    </row>
    <row r="73">
      <c r="A73" s="18" t="inlineStr">
        <is>
          <t>mín</t>
        </is>
      </c>
      <c r="B73" s="20">
        <f>MIN(B43:B72)</f>
        <v/>
      </c>
      <c r="C73" s="20">
        <f>MIN(C43:C72)</f>
        <v/>
      </c>
      <c r="D73" s="20">
        <f>MIN(D43:D72)</f>
        <v/>
      </c>
      <c r="F73" s="20">
        <f>MIN(F43:F72)</f>
        <v/>
      </c>
      <c r="G73" s="20">
        <f>MIN(G43:G72)</f>
        <v/>
      </c>
      <c r="H73" s="20">
        <f>MIN(H43:H72)</f>
        <v/>
      </c>
    </row>
    <row r="74">
      <c r="A74" s="18" t="inlineStr">
        <is>
          <t>média</t>
        </is>
      </c>
      <c r="B74" s="14">
        <f>AVERAGE(B43:B72)</f>
        <v/>
      </c>
      <c r="C74" s="14">
        <f>AVERAGE(C43:C72)</f>
        <v/>
      </c>
      <c r="D74" s="14">
        <f>AVERAGE(D43:D72)</f>
        <v/>
      </c>
      <c r="F74" s="14">
        <f>AVERAGE(F43:F72)</f>
        <v/>
      </c>
      <c r="G74" s="14">
        <f>AVERAGE(G43:G72)</f>
        <v/>
      </c>
      <c r="H74" s="14">
        <f>AVERAGE(H43:H72)</f>
        <v/>
      </c>
    </row>
    <row r="75">
      <c r="A75" s="18" t="inlineStr">
        <is>
          <t>máx</t>
        </is>
      </c>
      <c r="B75" s="20">
        <f>MAX(B43:B72)</f>
        <v/>
      </c>
      <c r="C75" s="20">
        <f>MAX(C43:C72)</f>
        <v/>
      </c>
      <c r="D75" s="20">
        <f>MAX(D43:D72)</f>
        <v/>
      </c>
      <c r="F75" s="20">
        <f>MAX(F43:F72)</f>
        <v/>
      </c>
      <c r="G75" s="20">
        <f>MAX(G43:G72)</f>
        <v/>
      </c>
      <c r="H75" s="20">
        <f>MAX(H43:H72)</f>
        <v/>
      </c>
    </row>
    <row r="76">
      <c r="A76" s="18" t="inlineStr">
        <is>
          <t>vitórias</t>
        </is>
      </c>
      <c r="B76" s="21">
        <f>COUNTIF(I43:I72,"base")</f>
        <v/>
      </c>
      <c r="F76" s="21">
        <f>COUNTIF(I43:I72,"shuffle")</f>
        <v/>
      </c>
    </row>
    <row r="78" ht="50" customHeight="1">
      <c r="A78" s="6" t="inlineStr">
        <is>
          <t>Leitura: médias praticamente iguais — não é ganho de qualidade média, é ganho de ALCANCE. Hoje os 19 matchings são idênticos em toda seed; com o shuffle (dentro de build_matches_with_homes, usando o rng já seedado — NÃO no load_teams), cada seed explora um agrupamento diferente dos 190 confrontos. Determinismo preservado. Não altera o piso de (d) = 4.</t>
        </is>
      </c>
    </row>
  </sheetData>
  <mergeCells count="2">
    <mergeCell ref="A78:I78"/>
    <mergeCell ref="A39:I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64" customWidth="1" min="3" max="3"/>
    <col width="10" customWidth="1" min="4" max="4"/>
    <col width="56" customWidth="1" min="5" max="5"/>
  </cols>
  <sheetData>
    <row r="1" ht="28" customHeight="1">
      <c r="A1" s="1" t="inlineStr">
        <is>
          <t>Achados do debug e recomendações</t>
        </is>
      </c>
    </row>
    <row r="2">
      <c r="A2" s="2" t="inlineStr">
        <is>
          <t>Para discussão com o orientador. Severidade: Alta = afeta conclusões do TCC; Média = afeta documentação/experimentos; Baixa = melhoria.</t>
        </is>
      </c>
    </row>
    <row r="4" ht="30" customHeight="1">
      <c r="A4" s="5" t="inlineStr">
        <is>
          <t>#</t>
        </is>
      </c>
      <c r="B4" s="5" t="inlineStr">
        <is>
          <t>Achado</t>
        </is>
      </c>
      <c r="C4" s="5" t="inlineStr">
        <is>
          <t>Evidência</t>
        </is>
      </c>
      <c r="D4" s="5" t="inlineStr">
        <is>
          <t>Severidade</t>
        </is>
      </c>
      <c r="E4" s="5" t="inlineStr">
        <is>
          <t>Recomendação</t>
        </is>
      </c>
    </row>
    <row r="5" ht="92" customHeight="1">
      <c r="A5" s="22" t="n">
        <v>1</v>
      </c>
      <c r="B5" s="22" t="inlineStr">
        <is>
          <t>O alpha da RCL é quase inerte neste dataset</t>
        </is>
      </c>
      <c r="C5" s="22" t="inlineStr">
        <is>
          <t>34 de 450 rodadas (7,6%) com c_min ≠ c_max em 30 seeds. Na seed 42, alpha 0.0 e 1.0 produzem as mesmas 380 partidas. Contradiz explicacao_codigo.md §1.4 ('quanto maior α, mais diversas as soluções').</t>
        </is>
      </c>
      <c r="D5" s="22" t="inlineStr">
        <is>
          <t>Alta</t>
        </is>
      </c>
      <c r="E5" s="22" t="inlineStr">
        <is>
          <t>Corrigir a doc antes da defesa. Opções para devolver poder à RCL: (i) custo com termo de PRV/desempate na construção; (ii) relaxar o filtro g=0 para 'g ≤ min+1'; (iii) usar f com penalidade contínua em vez de binária. Testar cada uma com o mesmo protocolo de 30 seeds.</t>
        </is>
      </c>
    </row>
    <row r="6" ht="92" customHeight="1">
      <c r="A6" s="22" t="n">
        <v>2</v>
      </c>
      <c r="B6" s="22" t="inlineStr">
        <is>
          <t>A ordem do teams.csv fixa os 19 matchings</t>
        </is>
      </c>
      <c r="C6" s="22" t="inlineStr">
        <is>
          <t>30/30 seeds usam os mesmos matchings; Fla × Flu sempre no mesmo bloco com os mesmos 9 jogos. A seed só varia rodada e mando.</t>
        </is>
      </c>
      <c r="D6" s="22" t="inlineStr">
        <is>
          <t>Alta</t>
        </is>
      </c>
      <c r="E6" s="22" t="inlineStr">
        <is>
          <t>Adicionar rng.shuffle(teams) em build_matches_with_homes (construction.py:480), antes do circle_method. Uma linha; determinismo preservado; testes passam. Adicionar teste 'seeds diferentes → matchings diferentes'.</t>
        </is>
      </c>
    </row>
    <row r="7" ht="92" customHeight="1">
      <c r="A7" s="7" t="n">
        <v>3</v>
      </c>
      <c r="B7" s="7" t="inlineStr">
        <is>
          <t>PRV é critério de desempate, não objetivo primário</t>
        </is>
      </c>
      <c r="C7" s="7" t="inlineStr">
        <is>
          <t>Chave (hard, soft_estr, prv): a it 2 do GRASP venceu a it 1 com PRV pior (8 &gt; 7). O ILS aceitou PRV 7 → 9 para cortar soft 12 → 4.</t>
        </is>
      </c>
      <c r="D7" s="7" t="inlineStr">
        <is>
          <t>Média</t>
        </is>
      </c>
      <c r="E7" s="7" t="inlineStr">
        <is>
          <t>Decisão de projeto correta (regulamento primeiro). Deixar explícito no texto do TCC e nas figuras: 'PRV mínimo ENTRE as soluções que respeitam as restrições estruturais'.</t>
        </is>
      </c>
    </row>
    <row r="8" ht="92" customHeight="1">
      <c r="A8" s="7" t="n">
        <v>4</v>
      </c>
      <c r="B8" s="7" t="inlineStr">
        <is>
          <t>Piso de (d) = 4 é decidido na etapa A'</t>
        </is>
      </c>
      <c r="C8" s="7" t="inlineStr">
        <is>
          <t>46.512 combinações de quarteto testadas; melhor = 4 incompatíveis; 1.116 empatam. Nenhuma seed ou busca local reduz.</t>
        </is>
      </c>
      <c r="D8" s="7" t="inlineStr">
        <is>
          <t>Média</t>
        </is>
      </c>
      <c r="E8" s="7" t="inlineStr">
        <is>
          <t>Documentar como limite estrutural do método do círculo (paridade da bipartição 10×10). Se (d) precisar ser 0, o caminho é outro gerador de 1-fatorização, não mais iterações.</t>
        </is>
      </c>
    </row>
    <row r="9" ht="92" customHeight="1">
      <c r="A9" s="7" t="n">
        <v>5</v>
      </c>
      <c r="B9" s="7" t="inlineStr">
        <is>
          <t>CSV de datas FIFA não é consumido</t>
        </is>
      </c>
      <c r="C9" s="7" t="inlineStr">
        <is>
          <t>data/raw/datas_fifas_...csv (43 linhas) existe, mas a CLI usa datas_20-08-2023_a_09-06-2024.csv, que tem os 295 dias sem buracos.</t>
        </is>
      </c>
      <c r="D9" s="7" t="inlineStr">
        <is>
          <t>Média</t>
        </is>
      </c>
      <c r="E9" s="7" t="inlineStr">
        <is>
          <t>Confirmar a intenção: se datas FIFA devem ser excluídas, subtrair esse CSV do conjunto de datas em cli.py. Hoje 'datas disponíveis' = todos os dias.</t>
        </is>
      </c>
    </row>
    <row r="10" ht="92" customHeight="1">
      <c r="A10" s="4" t="n">
        <v>6</v>
      </c>
      <c r="B10" s="4" t="inlineStr">
        <is>
          <t>Defaults do ILS mudaram no último commit</t>
        </is>
      </c>
      <c r="C10" s="4" t="inlineStr">
        <is>
          <t>iterated_local_search: max_iter_no_improve 20 → 100, seed 42 → 21. A CLI sobrescreve ambos, mas chamadas diretas (testes, scripts) usam os novos.</t>
        </is>
      </c>
      <c r="D10" s="4" t="inlineStr">
        <is>
          <t>Baixa</t>
        </is>
      </c>
      <c r="E10" s="4" t="inlineStr">
        <is>
          <t>Registrar o motivo no texto ou reverter para alinhar com a CLI.</t>
        </is>
      </c>
    </row>
    <row r="11" ht="92" customHeight="1">
      <c r="A11" s="4" t="n">
        <v>7</v>
      </c>
      <c r="B11" s="4" t="inlineStr">
        <is>
          <t>Instrumentação invasiva altera o que mede</t>
        </is>
      </c>
      <c r="C11" s="4" t="inlineStr">
        <is>
          <t>Injetar um único Random no lugar de random.Random corrompeu o fluxo porque construction.py:216 cria um SEGUNDO gerador (Random(0)). Quase levou à conclusão oposta.</t>
        </is>
      </c>
      <c r="D11" s="4" t="inlineStr">
        <is>
          <t>Baixa</t>
        </is>
      </c>
      <c r="E11" s="4" t="inlineStr">
        <is>
          <t>Todo experimento instrumentado deve reproduzir o hash da produção pura antes de ser aceito. Script diag_determinismo.py pode incorporar essa checagem.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4" customWidth="1" min="3" max="3"/>
  </cols>
  <sheetData>
    <row r="1" ht="28" customHeight="1">
      <c r="A1" s="1" t="inlineStr">
        <is>
          <t>Flags de python -m brasileirao.cli</t>
        </is>
      </c>
    </row>
    <row r="2">
      <c r="A2" s="2" t="inlineStr">
        <is>
          <t>cli.py:36–85</t>
        </is>
      </c>
    </row>
    <row r="4" ht="30" customHeight="1">
      <c r="A4" s="5" t="inlineStr">
        <is>
          <t>Flag</t>
        </is>
      </c>
      <c r="B4" s="5" t="inlineStr">
        <is>
          <t>Default</t>
        </is>
      </c>
      <c r="C4" s="5" t="inlineStr">
        <is>
          <t>Efeito</t>
        </is>
      </c>
    </row>
    <row r="5" ht="26" customHeight="1">
      <c r="A5" s="4" t="inlineStr">
        <is>
          <t>--teams / --dates / --date-col</t>
        </is>
      </c>
      <c r="B5" s="4" t="inlineStr">
        <is>
          <t>data/raw/teams.csv / datas_20-08…csv / Data</t>
        </is>
      </c>
      <c r="C5" s="4" t="inlineStr">
        <is>
          <t>Arquivos de entrada</t>
        </is>
      </c>
    </row>
    <row r="6" ht="26" customHeight="1">
      <c r="A6" s="4" t="inlineStr">
        <is>
          <t>--out</t>
        </is>
      </c>
      <c r="B6" s="4" t="inlineStr">
        <is>
          <t>results/schedule.csv</t>
        </is>
      </c>
      <c r="C6" s="4" t="inlineStr">
        <is>
          <t>CSV final</t>
        </is>
      </c>
    </row>
    <row r="7" ht="26" customHeight="1">
      <c r="A7" s="4" t="inlineStr">
        <is>
          <t>--seed</t>
        </is>
      </c>
      <c r="B7" s="4" t="inlineStr">
        <is>
          <t>42</t>
        </is>
      </c>
      <c r="C7" s="4" t="inlineStr">
        <is>
          <t>Seed única, propagada para GRASP (seed+i por iteração) e ILS</t>
        </is>
      </c>
    </row>
    <row r="8" ht="26" customHeight="1">
      <c r="A8" s="4" t="inlineStr">
        <is>
          <t>--grasp-max-iter</t>
        </is>
      </c>
      <c r="B8" s="4" t="inlineStr">
        <is>
          <t>50</t>
        </is>
      </c>
      <c r="C8" s="4" t="inlineStr">
        <is>
          <t>Teto de construções</t>
        </is>
      </c>
    </row>
    <row r="9" ht="26" customHeight="1">
      <c r="A9" s="4" t="inlineStr">
        <is>
          <t>--grasp-max-iter-no-improve</t>
        </is>
      </c>
      <c r="B9" s="4" t="inlineStr">
        <is>
          <t>20</t>
        </is>
      </c>
      <c r="C9" s="4" t="inlineStr">
        <is>
          <t>Para se N iterações seguidas não melhoram a chave</t>
        </is>
      </c>
    </row>
    <row r="10" ht="26" customHeight="1">
      <c r="A10" s="4" t="inlineStr">
        <is>
          <t>--alpha-pool</t>
        </is>
      </c>
      <c r="B10" s="4" t="inlineStr">
        <is>
          <t>0.1 0.2 0.3 0.4</t>
        </is>
      </c>
      <c r="C10" s="4" t="inlineStr">
        <is>
          <t>Pool de alphas sorteados por iteração (ver aba Experimentos sobre o efeito real)</t>
        </is>
      </c>
    </row>
    <row r="11" ht="26" customHeight="1">
      <c r="A11" s="4" t="inlineStr">
        <is>
          <t>--ils-max-iter / --ils-max-iter-no-improve</t>
        </is>
      </c>
      <c r="B11" s="4" t="inlineStr">
        <is>
          <t>200 / 20</t>
        </is>
      </c>
      <c r="C11" s="4" t="inlineStr">
        <is>
          <t>Loop do ILS</t>
        </is>
      </c>
    </row>
    <row r="12" ht="26" customHeight="1">
      <c r="A12" s="4" t="inlineStr">
        <is>
          <t>--perturbation-min / -step / -max</t>
        </is>
      </c>
      <c r="B12" s="4" t="inlineStr">
        <is>
          <t>1 / 1 / 5</t>
        </is>
      </c>
      <c r="C12" s="4" t="inlineStr">
        <is>
          <t>Força k da perturbação</t>
        </is>
      </c>
    </row>
    <row r="13" ht="26" customHeight="1">
      <c r="A13" s="4" t="inlineStr">
        <is>
          <t>--prv-days</t>
        </is>
      </c>
      <c r="B13" s="4" t="inlineStr">
        <is>
          <t>5</t>
        </is>
      </c>
      <c r="C13" s="4" t="inlineStr">
        <is>
          <t>Intervalo mínimo sem PRV no mesmo estádio</t>
        </is>
      </c>
    </row>
    <row r="14" ht="26" customHeight="1">
      <c r="A14" s="4" t="inlineStr">
        <is>
          <t>--round-gap</t>
        </is>
      </c>
      <c r="B14" s="4" t="inlineStr">
        <is>
          <t>7</t>
        </is>
      </c>
      <c r="C14" s="4" t="inlineStr">
        <is>
          <t>Dias entre o início de rodadas consecutivas</t>
        </is>
      </c>
    </row>
    <row r="15" ht="26" customHeight="1">
      <c r="A15" s="4" t="inlineStr">
        <is>
          <t>--round-span</t>
        </is>
      </c>
      <c r="B15" s="4" t="inlineStr">
        <is>
          <t>3</t>
        </is>
      </c>
      <c r="C15" s="4" t="inlineStr">
        <is>
          <t>Dias que uma rodada pode ocupar</t>
        </is>
      </c>
    </row>
    <row r="16" ht="26" customHeight="1">
      <c r="A16" s="4" t="inlineStr">
        <is>
          <t>--min-team-rest-days</t>
        </is>
      </c>
      <c r="B16" s="4" t="inlineStr">
        <is>
          <t>3</t>
        </is>
      </c>
      <c r="C16" s="4" t="inlineStr">
        <is>
          <t>Descanso mínimo entre jogos de um time</t>
        </is>
      </c>
    </row>
    <row r="17" ht="26" customHeight="1">
      <c r="A17" s="4" t="inlineStr">
        <is>
          <t>--max-consecutive</t>
        </is>
      </c>
      <c r="B17" s="4" t="inlineStr">
        <is>
          <t>2</t>
        </is>
      </c>
      <c r="C17" s="4" t="inlineStr">
        <is>
          <t>Máximo de jogos seguidos em casa/fora — restrição (g)</t>
        </is>
      </c>
    </row>
    <row r="18" ht="26" customHeight="1">
      <c r="A18" s="4" t="inlineStr">
        <is>
          <t>--simultaneous-rounds</t>
        </is>
      </c>
      <c r="B18" s="4" t="inlineStr">
        <is>
          <t>38</t>
        </is>
      </c>
      <c r="C18" s="4" t="inlineStr">
        <is>
          <t>Rodadas com todos os jogos na mesma data (vazio = desliga)</t>
        </is>
      </c>
    </row>
    <row r="19" ht="26" customHeight="1">
      <c r="A19" s="4" t="inlineStr">
        <is>
          <t>--all-hard</t>
        </is>
      </c>
      <c r="B19" s="4" t="inlineStr">
        <is>
          <t>off</t>
        </is>
      </c>
      <c r="C19" s="4" t="inlineStr">
        <is>
          <t>Marca a–j como hard nesta execução. Neste dataset ⇒ inviável (aviso na saída)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2026-09-09T22:15:19Z</dcterms:created>
  <dcterms:modified xsi:type="dcterms:W3CDTF">2026-09-09T22:15:19Z</dcterms:modified>
</cp:coreProperties>
</file>